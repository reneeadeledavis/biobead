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eneedavis/R/Biobead/2025greenhouse/yield/"/>
    </mc:Choice>
  </mc:AlternateContent>
  <xr:revisionPtr revIDLastSave="0" documentId="13_ncr:1_{2599EC26-2815-D246-A28D-6DCD055D849D}" xr6:coauthVersionLast="47" xr6:coauthVersionMax="47" xr10:uidLastSave="{00000000-0000-0000-0000-000000000000}"/>
  <bookViews>
    <workbookView xWindow="160" yWindow="900" windowWidth="2910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1" l="1"/>
  <c r="M93" i="1" l="1"/>
  <c r="M79" i="1"/>
  <c r="M72" i="1"/>
  <c r="M65" i="1"/>
  <c r="M58" i="1"/>
  <c r="M51" i="1"/>
  <c r="M44" i="1"/>
  <c r="M37" i="1"/>
  <c r="M30" i="1"/>
  <c r="M23" i="1"/>
  <c r="M9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M16" i="1" s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M86" i="1" s="1"/>
  <c r="L91" i="1"/>
  <c r="L92" i="1"/>
  <c r="L93" i="1"/>
  <c r="L94" i="1"/>
  <c r="L95" i="1"/>
  <c r="L96" i="1"/>
  <c r="L97" i="1"/>
  <c r="L98" i="1"/>
  <c r="L99" i="1"/>
  <c r="L2" i="1"/>
  <c r="K93" i="1"/>
  <c r="K79" i="1"/>
  <c r="K72" i="1"/>
  <c r="K65" i="1"/>
  <c r="K58" i="1"/>
  <c r="K51" i="1"/>
  <c r="K44" i="1"/>
  <c r="K37" i="1"/>
  <c r="K30" i="1"/>
  <c r="K23" i="1"/>
  <c r="K16" i="1"/>
  <c r="K9" i="1"/>
  <c r="K2" i="1"/>
  <c r="I93" i="1"/>
  <c r="I79" i="1"/>
  <c r="I72" i="1"/>
  <c r="I58" i="1"/>
  <c r="I51" i="1"/>
  <c r="I44" i="1"/>
  <c r="I30" i="1"/>
  <c r="I9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I23" i="1" s="1"/>
  <c r="H27" i="1"/>
  <c r="H28" i="1"/>
  <c r="H29" i="1"/>
  <c r="H30" i="1"/>
  <c r="H31" i="1"/>
  <c r="H32" i="1"/>
  <c r="H33" i="1"/>
  <c r="H34" i="1"/>
  <c r="H35" i="1"/>
  <c r="H36" i="1"/>
  <c r="H37" i="1"/>
  <c r="I37" i="1" s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2" i="1"/>
  <c r="G79" i="1"/>
  <c r="G72" i="1"/>
  <c r="G65" i="1"/>
  <c r="G58" i="1"/>
  <c r="G51" i="1"/>
  <c r="G44" i="1"/>
  <c r="G37" i="1"/>
  <c r="G30" i="1"/>
  <c r="G23" i="1"/>
  <c r="G86" i="1"/>
  <c r="G93" i="1"/>
  <c r="G16" i="1"/>
  <c r="G9" i="1"/>
  <c r="G2" i="1"/>
  <c r="I86" i="1" l="1"/>
  <c r="I16" i="1"/>
  <c r="I65" i="1"/>
</calcChain>
</file>

<file path=xl/sharedStrings.xml><?xml version="1.0" encoding="utf-8"?>
<sst xmlns="http://schemas.openxmlformats.org/spreadsheetml/2006/main" count="124" uniqueCount="40">
  <si>
    <t>13-1</t>
  </si>
  <si>
    <t>13-2</t>
  </si>
  <si>
    <t>13-3</t>
  </si>
  <si>
    <t>13-4</t>
  </si>
  <si>
    <t>13-5</t>
  </si>
  <si>
    <t>13-6</t>
  </si>
  <si>
    <t>13-7</t>
  </si>
  <si>
    <t>14-1</t>
  </si>
  <si>
    <t>14-2</t>
  </si>
  <si>
    <t>14-3</t>
  </si>
  <si>
    <t>14-4</t>
  </si>
  <si>
    <t>14-5</t>
  </si>
  <si>
    <t>14-6</t>
  </si>
  <si>
    <t>14-7</t>
  </si>
  <si>
    <t>Treatment</t>
  </si>
  <si>
    <t>GrainHeads</t>
  </si>
  <si>
    <t>GrainHeadWeight_g</t>
  </si>
  <si>
    <t>BB_Bac</t>
  </si>
  <si>
    <t>BB_AMF</t>
  </si>
  <si>
    <t>BB_Mix</t>
  </si>
  <si>
    <t>BB_Mix_SL</t>
  </si>
  <si>
    <t>BB_Bac_SL</t>
  </si>
  <si>
    <t>BB_AMF_SL</t>
  </si>
  <si>
    <t>BB_reduced</t>
  </si>
  <si>
    <t>Half_half</t>
  </si>
  <si>
    <t>Liq</t>
  </si>
  <si>
    <t>EB_SL</t>
  </si>
  <si>
    <t>EB</t>
  </si>
  <si>
    <t>Hgro</t>
  </si>
  <si>
    <t>Fert</t>
  </si>
  <si>
    <t>Neg_ctr</t>
  </si>
  <si>
    <t>ABG_straw</t>
  </si>
  <si>
    <t>Average_grain</t>
  </si>
  <si>
    <t>Harvest_Index</t>
  </si>
  <si>
    <t>Average_HI</t>
  </si>
  <si>
    <t>GrainWeight_g</t>
  </si>
  <si>
    <t>Average_root</t>
  </si>
  <si>
    <t>Root_biomass_g</t>
  </si>
  <si>
    <t>Average_ratio</t>
  </si>
  <si>
    <t>Root_Shoot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</si>
</sst>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topLeftCell="A49" workbookViewId="0">
      <selection activeCell="M54" sqref="M54"/>
    </sheetView>
  </sheetViews>
  <sheetFormatPr baseColWidth="10" defaultColWidth="12.6640625" defaultRowHeight="15.75" customHeight="1" x14ac:dyDescent="0.15"/>
  <cols>
    <col min="3" max="4" width="15.33203125" customWidth="1"/>
    <col min="5" max="5" width="19.33203125" customWidth="1"/>
    <col min="6" max="6" width="16.6640625" customWidth="1"/>
  </cols>
  <sheetData>
    <row r="1" spans="1:13" ht="15.75" customHeight="1" x14ac:dyDescent="0.15">
      <c r="B1" s="4" t="s">
        <v>14</v>
      </c>
      <c r="C1" s="1" t="s">
        <v>15</v>
      </c>
      <c r="D1" s="4" t="s">
        <v>31</v>
      </c>
      <c r="E1" s="1" t="s">
        <v>16</v>
      </c>
      <c r="F1" s="1" t="s">
        <v>35</v>
      </c>
      <c r="G1" s="1" t="s">
        <v>32</v>
      </c>
      <c r="H1" s="1" t="s">
        <v>33</v>
      </c>
      <c r="I1" s="1" t="s">
        <v>34</v>
      </c>
      <c r="J1" s="1" t="s">
        <v>37</v>
      </c>
      <c r="K1" s="1" t="s">
        <v>36</v>
      </c>
      <c r="L1" s="1" t="s">
        <v>39</v>
      </c>
      <c r="M1" s="1" t="s">
        <v>38</v>
      </c>
    </row>
    <row r="2" spans="1:13" ht="15.75" customHeight="1" x14ac:dyDescent="0.15">
      <c r="A2" s="2">
        <v>45658</v>
      </c>
      <c r="B2" s="2" t="s">
        <v>17</v>
      </c>
      <c r="C2" s="1">
        <v>4</v>
      </c>
      <c r="D2" s="4">
        <v>4.0599999999999996</v>
      </c>
      <c r="E2" s="1">
        <v>2.91</v>
      </c>
      <c r="F2" s="4">
        <v>2.11</v>
      </c>
      <c r="G2" s="5">
        <f>AVERAGE(F2:F8)</f>
        <v>2.137142857142857</v>
      </c>
      <c r="H2">
        <f>F2/(E2+D2)</f>
        <v>0.30272596843615496</v>
      </c>
      <c r="I2" s="5">
        <f>AVERAGE(H2:H8)</f>
        <v>0.3066062115630282</v>
      </c>
      <c r="J2" s="4">
        <v>1.0900000000000001</v>
      </c>
      <c r="K2" s="5">
        <f>AVERAGE(J2:J8)</f>
        <v>1.2014285714285715</v>
      </c>
      <c r="L2">
        <f>J2/(E2+D2)</f>
        <v>0.15638450502152082</v>
      </c>
      <c r="M2" s="5">
        <f>AVERAGE(L2:L8)</f>
        <v>0.1718435711550815</v>
      </c>
    </row>
    <row r="3" spans="1:13" ht="15.75" customHeight="1" x14ac:dyDescent="0.15">
      <c r="A3" s="2">
        <v>45659</v>
      </c>
      <c r="B3" s="2" t="s">
        <v>17</v>
      </c>
      <c r="C3" s="1">
        <v>4</v>
      </c>
      <c r="D3" s="4">
        <v>3.36</v>
      </c>
      <c r="E3" s="1">
        <v>3.28</v>
      </c>
      <c r="F3" s="4">
        <v>2.48</v>
      </c>
      <c r="H3">
        <f t="shared" ref="H3:H66" si="0">F3/(E3+D3)</f>
        <v>0.37349397590361449</v>
      </c>
      <c r="J3" s="4">
        <v>0.85</v>
      </c>
      <c r="L3">
        <f t="shared" ref="L3:L66" si="1">J3/(E3+D3)</f>
        <v>0.12801204819277109</v>
      </c>
    </row>
    <row r="4" spans="1:13" ht="15.75" customHeight="1" x14ac:dyDescent="0.15">
      <c r="A4" s="2">
        <v>45660</v>
      </c>
      <c r="B4" s="2" t="s">
        <v>17</v>
      </c>
      <c r="C4" s="1">
        <v>4</v>
      </c>
      <c r="D4" s="4">
        <v>3.76</v>
      </c>
      <c r="E4" s="1">
        <v>2.61</v>
      </c>
      <c r="F4" s="4">
        <v>1.81</v>
      </c>
      <c r="H4">
        <f t="shared" si="0"/>
        <v>0.28414442700156989</v>
      </c>
      <c r="J4" s="4">
        <v>1.2</v>
      </c>
      <c r="L4">
        <f t="shared" si="1"/>
        <v>0.18838304552590268</v>
      </c>
    </row>
    <row r="5" spans="1:13" ht="15.75" customHeight="1" x14ac:dyDescent="0.15">
      <c r="A5" s="2">
        <v>45661</v>
      </c>
      <c r="B5" s="2" t="s">
        <v>17</v>
      </c>
      <c r="C5" s="1">
        <v>3</v>
      </c>
      <c r="D5" s="4">
        <v>4.1900000000000004</v>
      </c>
      <c r="E5" s="1">
        <v>3.01</v>
      </c>
      <c r="F5" s="4">
        <v>2.21</v>
      </c>
      <c r="H5">
        <f t="shared" si="0"/>
        <v>0.30694444444444441</v>
      </c>
      <c r="J5" s="4">
        <v>1.24</v>
      </c>
      <c r="L5">
        <f t="shared" si="1"/>
        <v>0.17222222222222222</v>
      </c>
    </row>
    <row r="6" spans="1:13" ht="15.75" customHeight="1" x14ac:dyDescent="0.15">
      <c r="A6" s="2">
        <v>45662</v>
      </c>
      <c r="B6" s="2" t="s">
        <v>17</v>
      </c>
      <c r="C6" s="1">
        <v>4</v>
      </c>
      <c r="D6" s="4">
        <v>3.83</v>
      </c>
      <c r="E6" s="1">
        <v>2.87</v>
      </c>
      <c r="F6" s="4">
        <v>1.9</v>
      </c>
      <c r="H6">
        <f t="shared" si="0"/>
        <v>0.28358208955223879</v>
      </c>
      <c r="J6" s="4">
        <v>1.1599999999999999</v>
      </c>
      <c r="L6">
        <f t="shared" si="1"/>
        <v>0.17313432835820894</v>
      </c>
    </row>
    <row r="7" spans="1:13" ht="15.75" customHeight="1" x14ac:dyDescent="0.15">
      <c r="A7" s="2">
        <v>45663</v>
      </c>
      <c r="B7" s="2" t="s">
        <v>17</v>
      </c>
      <c r="C7" s="1">
        <v>3</v>
      </c>
      <c r="D7" s="4">
        <v>4.45</v>
      </c>
      <c r="E7" s="1">
        <v>3.27</v>
      </c>
      <c r="F7" s="4">
        <v>2.34</v>
      </c>
      <c r="H7">
        <f t="shared" si="0"/>
        <v>0.30310880829015541</v>
      </c>
      <c r="J7" s="4">
        <v>1.42</v>
      </c>
      <c r="L7">
        <f t="shared" si="1"/>
        <v>0.18393782383419688</v>
      </c>
    </row>
    <row r="8" spans="1:13" ht="15.75" customHeight="1" x14ac:dyDescent="0.15">
      <c r="A8" s="2">
        <v>45664</v>
      </c>
      <c r="B8" s="2" t="s">
        <v>17</v>
      </c>
      <c r="C8" s="1">
        <v>4</v>
      </c>
      <c r="D8" s="4">
        <v>4.17</v>
      </c>
      <c r="E8" s="1">
        <v>3.05</v>
      </c>
      <c r="F8" s="4">
        <v>2.11</v>
      </c>
      <c r="H8">
        <f t="shared" si="0"/>
        <v>0.29224376731301938</v>
      </c>
      <c r="J8" s="4">
        <v>1.45</v>
      </c>
      <c r="L8">
        <f t="shared" si="1"/>
        <v>0.20083102493074792</v>
      </c>
    </row>
    <row r="9" spans="1:13" ht="15.75" customHeight="1" x14ac:dyDescent="0.15">
      <c r="A9" s="2">
        <v>45689</v>
      </c>
      <c r="B9" t="s">
        <v>18</v>
      </c>
      <c r="C9" s="1">
        <v>3</v>
      </c>
      <c r="D9" s="4">
        <v>3.14</v>
      </c>
      <c r="E9" s="1">
        <v>2.96</v>
      </c>
      <c r="F9" s="4">
        <v>2.0499999999999998</v>
      </c>
      <c r="G9" s="5">
        <f>AVERAGE(F9:F15)</f>
        <v>1.9271428571428573</v>
      </c>
      <c r="H9">
        <f t="shared" si="0"/>
        <v>0.33606557377049179</v>
      </c>
      <c r="I9" s="5">
        <f>AVERAGE(H9:H15)</f>
        <v>0.32890570610124092</v>
      </c>
      <c r="J9" s="4">
        <v>1</v>
      </c>
      <c r="K9" s="5">
        <f>AVERAGE(J9:J15)</f>
        <v>1.0828571428571427</v>
      </c>
      <c r="L9">
        <f t="shared" si="1"/>
        <v>0.16393442622950821</v>
      </c>
      <c r="M9" s="5">
        <f>AVERAGE(L9:L15)</f>
        <v>0.18548668560991682</v>
      </c>
    </row>
    <row r="10" spans="1:13" ht="15.75" customHeight="1" x14ac:dyDescent="0.15">
      <c r="A10" s="2">
        <v>45690</v>
      </c>
      <c r="B10" t="s">
        <v>18</v>
      </c>
      <c r="C10" s="1">
        <v>4</v>
      </c>
      <c r="D10" s="4">
        <v>3.16</v>
      </c>
      <c r="E10" s="1">
        <v>2.58</v>
      </c>
      <c r="F10" s="4">
        <v>1.67</v>
      </c>
      <c r="H10">
        <f t="shared" si="0"/>
        <v>0.29094076655052264</v>
      </c>
      <c r="J10" s="4">
        <v>1.06</v>
      </c>
      <c r="L10">
        <f t="shared" si="1"/>
        <v>0.18466898954703834</v>
      </c>
    </row>
    <row r="11" spans="1:13" ht="15.75" customHeight="1" x14ac:dyDescent="0.15">
      <c r="A11" s="2">
        <v>45691</v>
      </c>
      <c r="B11" t="s">
        <v>18</v>
      </c>
      <c r="C11" s="1">
        <v>4</v>
      </c>
      <c r="D11" s="4">
        <v>2.12</v>
      </c>
      <c r="E11" s="1">
        <v>3.01</v>
      </c>
      <c r="F11" s="4">
        <v>1.93</v>
      </c>
      <c r="H11">
        <f t="shared" si="0"/>
        <v>0.37621832358674462</v>
      </c>
      <c r="J11" s="4">
        <v>1.2</v>
      </c>
      <c r="L11">
        <f t="shared" si="1"/>
        <v>0.23391812865497075</v>
      </c>
    </row>
    <row r="12" spans="1:13" ht="15.75" customHeight="1" x14ac:dyDescent="0.15">
      <c r="A12" s="2">
        <v>45692</v>
      </c>
      <c r="B12" t="s">
        <v>18</v>
      </c>
      <c r="C12" s="1">
        <v>3</v>
      </c>
      <c r="D12" s="4">
        <v>3.33</v>
      </c>
      <c r="E12" s="1">
        <v>2.59</v>
      </c>
      <c r="F12" s="4">
        <v>1.77</v>
      </c>
      <c r="H12">
        <f t="shared" si="0"/>
        <v>0.29898648648648651</v>
      </c>
      <c r="J12" s="4">
        <v>1.08</v>
      </c>
      <c r="L12">
        <f t="shared" si="1"/>
        <v>0.18243243243243246</v>
      </c>
    </row>
    <row r="13" spans="1:13" ht="15.75" customHeight="1" x14ac:dyDescent="0.15">
      <c r="A13" s="2">
        <v>45693</v>
      </c>
      <c r="B13" t="s">
        <v>18</v>
      </c>
      <c r="C13" s="1">
        <v>4</v>
      </c>
      <c r="D13" s="4">
        <v>3.3</v>
      </c>
      <c r="E13" s="1">
        <v>2.85</v>
      </c>
      <c r="F13" s="4">
        <v>1.81</v>
      </c>
      <c r="H13">
        <f t="shared" si="0"/>
        <v>0.2943089430894309</v>
      </c>
      <c r="J13" s="4">
        <v>0.89</v>
      </c>
      <c r="L13">
        <f t="shared" si="1"/>
        <v>0.14471544715447154</v>
      </c>
    </row>
    <row r="14" spans="1:13" ht="15.75" customHeight="1" x14ac:dyDescent="0.15">
      <c r="A14" s="2">
        <v>45694</v>
      </c>
      <c r="B14" t="s">
        <v>18</v>
      </c>
      <c r="C14" s="1">
        <v>3</v>
      </c>
      <c r="D14" s="4">
        <v>3.7</v>
      </c>
      <c r="E14" s="1">
        <v>3.01</v>
      </c>
      <c r="F14" s="4">
        <v>2.16</v>
      </c>
      <c r="H14">
        <f t="shared" si="0"/>
        <v>0.32190760059612522</v>
      </c>
      <c r="J14" s="4">
        <v>1.21</v>
      </c>
      <c r="L14">
        <f t="shared" si="1"/>
        <v>0.18032786885245902</v>
      </c>
    </row>
    <row r="15" spans="1:13" ht="15.75" customHeight="1" x14ac:dyDescent="0.15">
      <c r="A15" s="2">
        <v>45695</v>
      </c>
      <c r="B15" t="s">
        <v>18</v>
      </c>
      <c r="C15" s="1">
        <v>3</v>
      </c>
      <c r="D15" s="4">
        <v>2.58</v>
      </c>
      <c r="E15" s="1">
        <v>2.89</v>
      </c>
      <c r="F15" s="4">
        <v>2.1</v>
      </c>
      <c r="H15">
        <f t="shared" si="0"/>
        <v>0.38391224862888479</v>
      </c>
      <c r="J15" s="4">
        <v>1.1399999999999999</v>
      </c>
      <c r="L15">
        <f t="shared" si="1"/>
        <v>0.20840950639853745</v>
      </c>
    </row>
    <row r="16" spans="1:13" ht="15.75" customHeight="1" x14ac:dyDescent="0.15">
      <c r="A16" s="2">
        <v>45717</v>
      </c>
      <c r="B16" t="s">
        <v>19</v>
      </c>
      <c r="C16" s="1">
        <v>3</v>
      </c>
      <c r="D16" s="4">
        <v>2.96</v>
      </c>
      <c r="E16" s="1">
        <v>2.0699999999999998</v>
      </c>
      <c r="F16" s="4">
        <v>1.64</v>
      </c>
      <c r="G16" s="5">
        <f>AVERAGE(F16:F22)</f>
        <v>1.7671428571428567</v>
      </c>
      <c r="H16">
        <f t="shared" si="0"/>
        <v>0.32604373757455268</v>
      </c>
      <c r="I16" s="5">
        <f>AVERAGE(H16:H22)</f>
        <v>0.36232288987679101</v>
      </c>
      <c r="J16" s="4">
        <v>1.29</v>
      </c>
      <c r="K16" s="5">
        <f>AVERAGE(J16:J22)</f>
        <v>1.0757142857142856</v>
      </c>
      <c r="L16">
        <f t="shared" si="1"/>
        <v>0.25646123260437381</v>
      </c>
      <c r="M16" s="5">
        <f>AVERAGE(L16:L22)</f>
        <v>0.21889623869836941</v>
      </c>
    </row>
    <row r="17" spans="1:13" ht="15.75" customHeight="1" x14ac:dyDescent="0.15">
      <c r="A17" s="2">
        <v>45718</v>
      </c>
      <c r="B17" t="s">
        <v>19</v>
      </c>
      <c r="C17" s="1">
        <v>3</v>
      </c>
      <c r="D17" s="4">
        <v>2.35</v>
      </c>
      <c r="E17" s="1">
        <v>2.85</v>
      </c>
      <c r="F17" s="4">
        <v>2.23</v>
      </c>
      <c r="H17">
        <f t="shared" si="0"/>
        <v>0.42884615384615382</v>
      </c>
      <c r="J17" s="4">
        <v>1.3</v>
      </c>
      <c r="L17">
        <f t="shared" si="1"/>
        <v>0.25</v>
      </c>
    </row>
    <row r="18" spans="1:13" ht="15.75" customHeight="1" x14ac:dyDescent="0.15">
      <c r="A18" s="2">
        <v>45719</v>
      </c>
      <c r="B18" t="s">
        <v>19</v>
      </c>
      <c r="C18" s="1">
        <v>3</v>
      </c>
      <c r="D18" s="4">
        <v>2.5499999999999998</v>
      </c>
      <c r="E18" s="1">
        <v>2.21</v>
      </c>
      <c r="F18" s="4">
        <v>1.88</v>
      </c>
      <c r="H18">
        <f t="shared" si="0"/>
        <v>0.3949579831932773</v>
      </c>
      <c r="J18" s="4">
        <v>0.92</v>
      </c>
      <c r="L18">
        <f t="shared" si="1"/>
        <v>0.19327731092436976</v>
      </c>
    </row>
    <row r="19" spans="1:13" ht="15.75" customHeight="1" x14ac:dyDescent="0.15">
      <c r="A19" s="2">
        <v>45720</v>
      </c>
      <c r="B19" t="s">
        <v>19</v>
      </c>
      <c r="C19" s="1">
        <v>3</v>
      </c>
      <c r="D19" s="4">
        <v>2.64</v>
      </c>
      <c r="E19" s="1">
        <v>1.94</v>
      </c>
      <c r="F19" s="4">
        <v>1.52</v>
      </c>
      <c r="H19">
        <f t="shared" si="0"/>
        <v>0.33187772925764192</v>
      </c>
      <c r="J19" s="4">
        <v>0.84</v>
      </c>
      <c r="L19">
        <f t="shared" si="1"/>
        <v>0.18340611353711789</v>
      </c>
    </row>
    <row r="20" spans="1:13" ht="15.75" customHeight="1" x14ac:dyDescent="0.15">
      <c r="A20" s="2">
        <v>45721</v>
      </c>
      <c r="B20" t="s">
        <v>19</v>
      </c>
      <c r="C20" s="1">
        <v>3</v>
      </c>
      <c r="D20" s="4">
        <v>3</v>
      </c>
      <c r="E20" s="1">
        <v>2.34</v>
      </c>
      <c r="F20" s="4">
        <v>1.54</v>
      </c>
      <c r="H20">
        <f t="shared" si="0"/>
        <v>0.28838951310861427</v>
      </c>
      <c r="J20" s="4">
        <v>1.25</v>
      </c>
      <c r="L20">
        <f t="shared" si="1"/>
        <v>0.23408239700374533</v>
      </c>
    </row>
    <row r="21" spans="1:13" ht="15.75" customHeight="1" x14ac:dyDescent="0.15">
      <c r="A21" s="2">
        <v>45722</v>
      </c>
      <c r="B21" t="s">
        <v>19</v>
      </c>
      <c r="C21" s="1">
        <v>4</v>
      </c>
      <c r="D21" s="4">
        <v>2.69</v>
      </c>
      <c r="E21" s="1">
        <v>2.02</v>
      </c>
      <c r="F21" s="4">
        <v>1.53</v>
      </c>
      <c r="H21">
        <f t="shared" si="0"/>
        <v>0.32484076433121017</v>
      </c>
      <c r="J21" s="4">
        <v>0.89</v>
      </c>
      <c r="L21">
        <f t="shared" si="1"/>
        <v>0.18895966029723993</v>
      </c>
    </row>
    <row r="22" spans="1:13" ht="15.75" customHeight="1" x14ac:dyDescent="0.15">
      <c r="A22" s="2">
        <v>45723</v>
      </c>
      <c r="B22" t="s">
        <v>19</v>
      </c>
      <c r="C22" s="1">
        <v>3</v>
      </c>
      <c r="D22" s="4">
        <v>1.99</v>
      </c>
      <c r="E22" s="1">
        <v>2.61</v>
      </c>
      <c r="F22" s="4">
        <v>2.0299999999999998</v>
      </c>
      <c r="H22">
        <f t="shared" si="0"/>
        <v>0.44130434782608696</v>
      </c>
      <c r="J22" s="4">
        <v>1.04</v>
      </c>
      <c r="L22">
        <f t="shared" si="1"/>
        <v>0.22608695652173916</v>
      </c>
    </row>
    <row r="23" spans="1:13" ht="15.75" customHeight="1" x14ac:dyDescent="0.15">
      <c r="A23" s="2">
        <v>45748</v>
      </c>
      <c r="B23" t="s">
        <v>20</v>
      </c>
      <c r="C23" s="1">
        <v>4</v>
      </c>
      <c r="D23" s="4">
        <v>2.7</v>
      </c>
      <c r="E23" s="1">
        <v>2.72</v>
      </c>
      <c r="F23" s="4">
        <v>1.91</v>
      </c>
      <c r="G23" s="5">
        <f>AVERAGE(F23:F29)</f>
        <v>1.7942857142857147</v>
      </c>
      <c r="H23">
        <f t="shared" si="0"/>
        <v>0.35239852398523985</v>
      </c>
      <c r="I23" s="5">
        <f>AVERAGE(H23:H29)</f>
        <v>0.2851713979538929</v>
      </c>
      <c r="J23" s="4">
        <v>1.06</v>
      </c>
      <c r="K23" s="5">
        <f>AVERAGE(J23:J29)</f>
        <v>1.4671428571428571</v>
      </c>
      <c r="L23">
        <f t="shared" si="1"/>
        <v>0.19557195571955721</v>
      </c>
      <c r="M23" s="5">
        <f>AVERAGE(L23:L29)</f>
        <v>0.2326354403662419</v>
      </c>
    </row>
    <row r="24" spans="1:13" ht="15.75" customHeight="1" x14ac:dyDescent="0.15">
      <c r="A24" s="2">
        <v>45749</v>
      </c>
      <c r="B24" t="s">
        <v>20</v>
      </c>
      <c r="C24" s="1">
        <v>4</v>
      </c>
      <c r="D24" s="4">
        <v>4.0199999999999996</v>
      </c>
      <c r="E24" s="1">
        <v>2.5499999999999998</v>
      </c>
      <c r="F24" s="4">
        <v>1.83</v>
      </c>
      <c r="H24">
        <f t="shared" si="0"/>
        <v>0.27853881278538817</v>
      </c>
      <c r="J24" s="4">
        <v>1.79</v>
      </c>
      <c r="L24">
        <f t="shared" si="1"/>
        <v>0.27245053272450537</v>
      </c>
    </row>
    <row r="25" spans="1:13" ht="15.75" customHeight="1" x14ac:dyDescent="0.15">
      <c r="A25" s="2">
        <v>45750</v>
      </c>
      <c r="B25" t="s">
        <v>20</v>
      </c>
      <c r="C25" s="1">
        <v>5</v>
      </c>
      <c r="D25" s="4">
        <v>4.3899999999999997</v>
      </c>
      <c r="E25" s="1">
        <v>3.53</v>
      </c>
      <c r="F25" s="4">
        <v>2.38</v>
      </c>
      <c r="H25">
        <f t="shared" si="0"/>
        <v>0.3005050505050505</v>
      </c>
      <c r="J25" s="4">
        <v>1.66</v>
      </c>
      <c r="L25">
        <f t="shared" si="1"/>
        <v>0.20959595959595959</v>
      </c>
    </row>
    <row r="26" spans="1:13" ht="15.75" customHeight="1" x14ac:dyDescent="0.15">
      <c r="A26" s="2">
        <v>45751</v>
      </c>
      <c r="B26" t="s">
        <v>20</v>
      </c>
      <c r="C26" s="1">
        <v>3</v>
      </c>
      <c r="D26" s="4">
        <v>3.59</v>
      </c>
      <c r="E26" s="1">
        <v>2.1</v>
      </c>
      <c r="F26" s="4">
        <v>1.41</v>
      </c>
      <c r="H26">
        <f t="shared" si="0"/>
        <v>0.24780316344463973</v>
      </c>
      <c r="J26" s="4">
        <v>1.26</v>
      </c>
      <c r="L26">
        <f t="shared" si="1"/>
        <v>0.22144112478031636</v>
      </c>
    </row>
    <row r="27" spans="1:13" ht="15.75" customHeight="1" x14ac:dyDescent="0.15">
      <c r="A27" s="2">
        <v>45752</v>
      </c>
      <c r="B27" t="s">
        <v>20</v>
      </c>
      <c r="C27" s="1">
        <v>3</v>
      </c>
      <c r="D27" s="4">
        <v>3.54</v>
      </c>
      <c r="E27" s="1">
        <v>2.14</v>
      </c>
      <c r="F27" s="4">
        <v>1.43</v>
      </c>
      <c r="H27">
        <f t="shared" si="0"/>
        <v>0.25176056338028169</v>
      </c>
      <c r="J27" s="4">
        <v>1.26</v>
      </c>
      <c r="L27">
        <f t="shared" si="1"/>
        <v>0.22183098591549297</v>
      </c>
    </row>
    <row r="28" spans="1:13" ht="15.75" customHeight="1" x14ac:dyDescent="0.15">
      <c r="A28" s="2">
        <v>45753</v>
      </c>
      <c r="B28" t="s">
        <v>20</v>
      </c>
      <c r="C28" s="1">
        <v>4</v>
      </c>
      <c r="D28" s="4">
        <v>3.5</v>
      </c>
      <c r="E28" s="1">
        <v>2.61</v>
      </c>
      <c r="F28" s="4">
        <v>1.73</v>
      </c>
      <c r="H28">
        <f t="shared" si="0"/>
        <v>0.2831423895253683</v>
      </c>
      <c r="J28" s="4">
        <v>1.47</v>
      </c>
      <c r="L28">
        <f t="shared" si="1"/>
        <v>0.24058919803600656</v>
      </c>
    </row>
    <row r="29" spans="1:13" ht="15.75" customHeight="1" x14ac:dyDescent="0.15">
      <c r="A29" s="2">
        <v>45754</v>
      </c>
      <c r="B29" t="s">
        <v>20</v>
      </c>
      <c r="C29" s="1">
        <v>3</v>
      </c>
      <c r="D29" s="4">
        <v>3.86</v>
      </c>
      <c r="E29" s="1">
        <v>2.77</v>
      </c>
      <c r="F29" s="4">
        <v>1.87</v>
      </c>
      <c r="H29">
        <f t="shared" si="0"/>
        <v>0.28205128205128205</v>
      </c>
      <c r="J29" s="4">
        <v>1.77</v>
      </c>
      <c r="L29">
        <f t="shared" si="1"/>
        <v>0.2669683257918552</v>
      </c>
    </row>
    <row r="30" spans="1:13" ht="15.75" customHeight="1" x14ac:dyDescent="0.15">
      <c r="A30" s="2">
        <v>45778</v>
      </c>
      <c r="B30" t="s">
        <v>21</v>
      </c>
      <c r="C30" s="1">
        <v>5</v>
      </c>
      <c r="D30" s="4">
        <v>2.79</v>
      </c>
      <c r="E30" s="1">
        <v>2.29</v>
      </c>
      <c r="F30" s="4">
        <v>1.65</v>
      </c>
      <c r="G30" s="5">
        <f>AVERAGE(F30:F36)</f>
        <v>1.7485714285714284</v>
      </c>
      <c r="H30">
        <f t="shared" si="0"/>
        <v>0.32480314960629919</v>
      </c>
      <c r="I30" s="5">
        <f>AVERAGE(H30:H36)</f>
        <v>0.30188088146746089</v>
      </c>
      <c r="J30" s="4">
        <v>0.79</v>
      </c>
      <c r="K30" s="5">
        <f>AVERAGE(J30:J36)</f>
        <v>1.2128571428571429</v>
      </c>
      <c r="L30">
        <f t="shared" si="1"/>
        <v>0.15551181102362205</v>
      </c>
      <c r="M30" s="5">
        <f>AVERAGE(L30:L36)</f>
        <v>0.21140476063648209</v>
      </c>
    </row>
    <row r="31" spans="1:13" ht="15.75" customHeight="1" x14ac:dyDescent="0.15">
      <c r="A31" s="2">
        <v>45779</v>
      </c>
      <c r="B31" t="s">
        <v>21</v>
      </c>
      <c r="C31" s="1">
        <v>3</v>
      </c>
      <c r="D31" s="4">
        <v>1.87</v>
      </c>
      <c r="E31" s="1">
        <v>1.5</v>
      </c>
      <c r="F31" s="4">
        <v>0.98</v>
      </c>
      <c r="H31">
        <f t="shared" si="0"/>
        <v>0.29080118694362017</v>
      </c>
      <c r="J31" s="4">
        <v>0.86</v>
      </c>
      <c r="L31">
        <f t="shared" si="1"/>
        <v>0.25519287833827892</v>
      </c>
    </row>
    <row r="32" spans="1:13" ht="15.75" customHeight="1" x14ac:dyDescent="0.15">
      <c r="A32" s="2">
        <v>45780</v>
      </c>
      <c r="B32" t="s">
        <v>21</v>
      </c>
      <c r="C32" s="1">
        <v>4</v>
      </c>
      <c r="D32" s="4">
        <v>4.28</v>
      </c>
      <c r="E32" s="1">
        <v>3.38</v>
      </c>
      <c r="F32" s="4">
        <v>2.27</v>
      </c>
      <c r="H32">
        <f t="shared" si="0"/>
        <v>0.29634464751958223</v>
      </c>
      <c r="J32" s="4">
        <v>1.84</v>
      </c>
      <c r="L32">
        <f t="shared" si="1"/>
        <v>0.24020887728459531</v>
      </c>
    </row>
    <row r="33" spans="1:13" ht="15.75" customHeight="1" x14ac:dyDescent="0.15">
      <c r="A33" s="2">
        <v>45781</v>
      </c>
      <c r="B33" t="s">
        <v>21</v>
      </c>
      <c r="C33" s="1">
        <v>3</v>
      </c>
      <c r="D33" s="4">
        <v>3.06</v>
      </c>
      <c r="E33" s="1">
        <v>2.15</v>
      </c>
      <c r="F33" s="4">
        <v>1.44</v>
      </c>
      <c r="H33">
        <f t="shared" si="0"/>
        <v>0.27639155470249521</v>
      </c>
      <c r="J33" s="4">
        <v>1.1299999999999999</v>
      </c>
      <c r="L33">
        <f t="shared" si="1"/>
        <v>0.2168905950095969</v>
      </c>
    </row>
    <row r="34" spans="1:13" ht="15.75" customHeight="1" x14ac:dyDescent="0.15">
      <c r="A34" s="2">
        <v>45782</v>
      </c>
      <c r="B34" t="s">
        <v>21</v>
      </c>
      <c r="C34" s="1">
        <v>3</v>
      </c>
      <c r="D34" s="4">
        <v>3.8</v>
      </c>
      <c r="E34" s="1">
        <v>3.02</v>
      </c>
      <c r="F34" s="4">
        <v>2.0299999999999998</v>
      </c>
      <c r="H34">
        <f t="shared" si="0"/>
        <v>0.29765395894428148</v>
      </c>
      <c r="J34" s="4">
        <v>1.32</v>
      </c>
      <c r="L34">
        <f t="shared" si="1"/>
        <v>0.19354838709677419</v>
      </c>
    </row>
    <row r="35" spans="1:13" ht="15.75" customHeight="1" x14ac:dyDescent="0.15">
      <c r="A35" s="2">
        <v>45783</v>
      </c>
      <c r="B35" t="s">
        <v>21</v>
      </c>
      <c r="C35" s="1">
        <v>4</v>
      </c>
      <c r="D35" s="4">
        <v>3.84</v>
      </c>
      <c r="E35" s="1">
        <v>2.88</v>
      </c>
      <c r="F35" s="4">
        <v>2.0299999999999998</v>
      </c>
      <c r="H35">
        <f t="shared" si="0"/>
        <v>0.30208333333333331</v>
      </c>
      <c r="J35" s="4">
        <v>1.1499999999999999</v>
      </c>
      <c r="L35">
        <f t="shared" si="1"/>
        <v>0.17113095238095238</v>
      </c>
    </row>
    <row r="36" spans="1:13" ht="15.75" customHeight="1" x14ac:dyDescent="0.15">
      <c r="A36" s="2">
        <v>45784</v>
      </c>
      <c r="B36" t="s">
        <v>21</v>
      </c>
      <c r="C36" s="1">
        <v>3</v>
      </c>
      <c r="D36" s="4">
        <v>3.07</v>
      </c>
      <c r="E36" s="1">
        <v>2.59</v>
      </c>
      <c r="F36" s="4">
        <v>1.84</v>
      </c>
      <c r="H36">
        <f t="shared" si="0"/>
        <v>0.32508833922261482</v>
      </c>
      <c r="J36" s="4">
        <v>1.4</v>
      </c>
      <c r="L36">
        <f t="shared" si="1"/>
        <v>0.24734982332155475</v>
      </c>
    </row>
    <row r="37" spans="1:13" ht="15.75" customHeight="1" x14ac:dyDescent="0.15">
      <c r="A37" s="2">
        <v>45809</v>
      </c>
      <c r="B37" t="s">
        <v>22</v>
      </c>
      <c r="C37" s="1">
        <v>4</v>
      </c>
      <c r="D37" s="4">
        <v>2.82</v>
      </c>
      <c r="E37" s="1">
        <v>1.1200000000000001</v>
      </c>
      <c r="F37" s="4">
        <v>0.87</v>
      </c>
      <c r="G37" s="5">
        <f>AVERAGE(F37:F43)</f>
        <v>1.5999999999999999</v>
      </c>
      <c r="H37">
        <f t="shared" si="0"/>
        <v>0.22081218274111675</v>
      </c>
      <c r="I37" s="5">
        <f>AVERAGE(H37:H43)</f>
        <v>0.2837660303009274</v>
      </c>
      <c r="J37" s="4">
        <v>0.61</v>
      </c>
      <c r="K37" s="5">
        <f>AVERAGE(J37:J43)</f>
        <v>0.93857142857142861</v>
      </c>
      <c r="L37">
        <f t="shared" si="1"/>
        <v>0.1548223350253807</v>
      </c>
      <c r="M37" s="5">
        <f>AVERAGE(L37:L43)</f>
        <v>0.16934748386510348</v>
      </c>
    </row>
    <row r="38" spans="1:13" ht="15.75" customHeight="1" x14ac:dyDescent="0.15">
      <c r="A38" s="2">
        <v>45810</v>
      </c>
      <c r="B38" t="s">
        <v>22</v>
      </c>
      <c r="C38" s="1">
        <v>4</v>
      </c>
      <c r="D38" s="4">
        <v>2.67</v>
      </c>
      <c r="E38" s="1">
        <v>2.21</v>
      </c>
      <c r="F38" s="4">
        <v>1.49</v>
      </c>
      <c r="H38">
        <f t="shared" si="0"/>
        <v>0.30532786885245899</v>
      </c>
      <c r="J38" s="4">
        <v>0.78</v>
      </c>
      <c r="L38">
        <f t="shared" si="1"/>
        <v>0.1598360655737705</v>
      </c>
    </row>
    <row r="39" spans="1:13" ht="15.75" customHeight="1" x14ac:dyDescent="0.15">
      <c r="A39" s="2">
        <v>45811</v>
      </c>
      <c r="B39" t="s">
        <v>22</v>
      </c>
      <c r="C39" s="1">
        <v>3</v>
      </c>
      <c r="D39" s="4">
        <v>3.57</v>
      </c>
      <c r="E39" s="1">
        <v>2.57</v>
      </c>
      <c r="F39" s="4">
        <v>1.8</v>
      </c>
      <c r="H39">
        <f t="shared" si="0"/>
        <v>0.29315960912052119</v>
      </c>
      <c r="J39" s="4">
        <v>1.02</v>
      </c>
      <c r="L39">
        <f t="shared" si="1"/>
        <v>0.16612377850162868</v>
      </c>
    </row>
    <row r="40" spans="1:13" ht="15.75" customHeight="1" x14ac:dyDescent="0.15">
      <c r="A40" s="2">
        <v>45812</v>
      </c>
      <c r="B40" t="s">
        <v>22</v>
      </c>
      <c r="C40" s="1">
        <v>3</v>
      </c>
      <c r="D40" s="4">
        <v>4.2699999999999996</v>
      </c>
      <c r="E40" s="1">
        <v>3.77</v>
      </c>
      <c r="F40" s="4">
        <v>2.7</v>
      </c>
      <c r="H40">
        <f t="shared" si="0"/>
        <v>0.33582089552238814</v>
      </c>
      <c r="J40" s="4">
        <v>1.32</v>
      </c>
      <c r="L40">
        <f t="shared" si="1"/>
        <v>0.16417910447761197</v>
      </c>
    </row>
    <row r="41" spans="1:13" ht="15.75" customHeight="1" x14ac:dyDescent="0.15">
      <c r="A41" s="2">
        <v>45813</v>
      </c>
      <c r="B41" t="s">
        <v>22</v>
      </c>
      <c r="C41" s="1">
        <v>3</v>
      </c>
      <c r="D41" s="4">
        <v>3.92</v>
      </c>
      <c r="E41" s="1">
        <v>2.62</v>
      </c>
      <c r="F41" s="4">
        <v>1.66</v>
      </c>
      <c r="H41">
        <f t="shared" si="0"/>
        <v>0.25382262996941896</v>
      </c>
      <c r="J41" s="4">
        <v>1.1299999999999999</v>
      </c>
      <c r="L41">
        <f t="shared" si="1"/>
        <v>0.17278287461773698</v>
      </c>
    </row>
    <row r="42" spans="1:13" ht="15.75" customHeight="1" x14ac:dyDescent="0.15">
      <c r="A42" s="2">
        <v>45814</v>
      </c>
      <c r="B42" t="s">
        <v>22</v>
      </c>
      <c r="C42" s="1">
        <v>3</v>
      </c>
      <c r="D42" s="4">
        <v>2.58</v>
      </c>
      <c r="E42" s="1">
        <v>2.0299999999999998</v>
      </c>
      <c r="F42" s="4">
        <v>1.47</v>
      </c>
      <c r="H42">
        <f t="shared" si="0"/>
        <v>0.31887201735357923</v>
      </c>
      <c r="J42" s="4">
        <v>0.71</v>
      </c>
      <c r="L42">
        <f t="shared" si="1"/>
        <v>0.15401301518438179</v>
      </c>
    </row>
    <row r="43" spans="1:13" ht="15.75" customHeight="1" x14ac:dyDescent="0.15">
      <c r="A43" s="2">
        <v>45815</v>
      </c>
      <c r="B43" t="s">
        <v>22</v>
      </c>
      <c r="C43" s="1">
        <v>3</v>
      </c>
      <c r="D43" s="4">
        <v>2.83</v>
      </c>
      <c r="E43" s="1">
        <v>1.85</v>
      </c>
      <c r="F43" s="4">
        <v>1.21</v>
      </c>
      <c r="H43">
        <f t="shared" si="0"/>
        <v>0.25854700854700857</v>
      </c>
      <c r="J43" s="4">
        <v>1</v>
      </c>
      <c r="L43">
        <f t="shared" si="1"/>
        <v>0.21367521367521369</v>
      </c>
    </row>
    <row r="44" spans="1:13" ht="15.75" customHeight="1" x14ac:dyDescent="0.15">
      <c r="A44" s="2">
        <v>45839</v>
      </c>
      <c r="B44" t="s">
        <v>23</v>
      </c>
      <c r="C44" s="1">
        <v>3</v>
      </c>
      <c r="D44" s="4">
        <v>3.2</v>
      </c>
      <c r="E44" s="1">
        <v>1.62</v>
      </c>
      <c r="F44" s="4">
        <v>0.95</v>
      </c>
      <c r="G44" s="5">
        <f>AVERAGE(F44:F50)</f>
        <v>1.2928571428571429</v>
      </c>
      <c r="H44">
        <f t="shared" si="0"/>
        <v>0.19709543568464727</v>
      </c>
      <c r="I44" s="5">
        <f>AVERAGE(H44:H50)</f>
        <v>0.25302380515355072</v>
      </c>
      <c r="J44" s="4">
        <v>0.79</v>
      </c>
      <c r="K44" s="5">
        <f>AVERAGE(J44:J50)</f>
        <v>0.91142857142857137</v>
      </c>
      <c r="L44">
        <f t="shared" si="1"/>
        <v>0.16390041493775934</v>
      </c>
      <c r="M44" s="5">
        <f>AVERAGE(L44:L50)</f>
        <v>0.19263473623540658</v>
      </c>
    </row>
    <row r="45" spans="1:13" ht="15.75" customHeight="1" x14ac:dyDescent="0.15">
      <c r="A45" s="2">
        <v>45840</v>
      </c>
      <c r="B45" t="s">
        <v>23</v>
      </c>
      <c r="C45" s="1">
        <v>3</v>
      </c>
      <c r="D45" s="4">
        <v>3.72</v>
      </c>
      <c r="E45" s="1">
        <v>1.37</v>
      </c>
      <c r="F45" s="4">
        <v>0.75</v>
      </c>
      <c r="H45">
        <f t="shared" si="0"/>
        <v>0.14734774066797643</v>
      </c>
      <c r="J45" s="4">
        <v>1.33</v>
      </c>
      <c r="L45">
        <f t="shared" si="1"/>
        <v>0.26129666011787822</v>
      </c>
    </row>
    <row r="46" spans="1:13" ht="15.75" customHeight="1" x14ac:dyDescent="0.15">
      <c r="A46" s="2">
        <v>45841</v>
      </c>
      <c r="B46" t="s">
        <v>23</v>
      </c>
      <c r="C46" s="1">
        <v>4</v>
      </c>
      <c r="D46" s="4">
        <v>2.4500000000000002</v>
      </c>
      <c r="E46" s="1">
        <v>1.8</v>
      </c>
      <c r="F46" s="4">
        <v>1.25</v>
      </c>
      <c r="H46">
        <f t="shared" si="0"/>
        <v>0.29411764705882354</v>
      </c>
      <c r="J46" s="4">
        <v>0.5</v>
      </c>
      <c r="L46">
        <f t="shared" si="1"/>
        <v>0.11764705882352941</v>
      </c>
    </row>
    <row r="47" spans="1:13" ht="15.75" customHeight="1" x14ac:dyDescent="0.15">
      <c r="A47" s="2">
        <v>45842</v>
      </c>
      <c r="B47" t="s">
        <v>23</v>
      </c>
      <c r="C47" s="1">
        <v>1</v>
      </c>
      <c r="D47" s="4">
        <v>1.99</v>
      </c>
      <c r="E47" s="1">
        <v>0.84</v>
      </c>
      <c r="F47" s="4">
        <v>0.61</v>
      </c>
      <c r="H47">
        <f t="shared" si="0"/>
        <v>0.21554770318021199</v>
      </c>
      <c r="J47" s="4">
        <v>1.02</v>
      </c>
      <c r="L47">
        <f t="shared" si="1"/>
        <v>0.36042402826855124</v>
      </c>
    </row>
    <row r="48" spans="1:13" ht="15.75" customHeight="1" x14ac:dyDescent="0.15">
      <c r="A48" s="2">
        <v>45843</v>
      </c>
      <c r="B48" t="s">
        <v>23</v>
      </c>
      <c r="C48" s="1">
        <v>3</v>
      </c>
      <c r="D48" s="4">
        <v>4.72</v>
      </c>
      <c r="E48" s="1">
        <v>3.12</v>
      </c>
      <c r="F48" s="4">
        <v>2.0499999999999998</v>
      </c>
      <c r="H48">
        <f t="shared" si="0"/>
        <v>0.26147959183673469</v>
      </c>
      <c r="J48" s="4">
        <v>1.31</v>
      </c>
      <c r="L48">
        <f t="shared" si="1"/>
        <v>0.16709183673469388</v>
      </c>
    </row>
    <row r="49" spans="1:13" ht="15.75" customHeight="1" x14ac:dyDescent="0.15">
      <c r="A49" s="2">
        <v>45844</v>
      </c>
      <c r="B49" t="s">
        <v>23</v>
      </c>
      <c r="C49" s="1">
        <v>3</v>
      </c>
      <c r="D49" s="4">
        <v>1.74</v>
      </c>
      <c r="E49" s="1">
        <v>1.6</v>
      </c>
      <c r="F49" s="4">
        <v>1.07</v>
      </c>
      <c r="H49">
        <f t="shared" si="0"/>
        <v>0.32035928143712578</v>
      </c>
      <c r="J49" s="4">
        <v>0.48</v>
      </c>
      <c r="L49">
        <f t="shared" si="1"/>
        <v>0.1437125748502994</v>
      </c>
    </row>
    <row r="50" spans="1:13" ht="15.75" customHeight="1" x14ac:dyDescent="0.15">
      <c r="A50" s="2">
        <v>45845</v>
      </c>
      <c r="B50" t="s">
        <v>23</v>
      </c>
      <c r="C50" s="1">
        <v>4</v>
      </c>
      <c r="D50" s="4">
        <v>3.69</v>
      </c>
      <c r="E50" s="1">
        <v>3.38</v>
      </c>
      <c r="F50" s="4">
        <v>2.37</v>
      </c>
      <c r="H50">
        <f t="shared" si="0"/>
        <v>0.33521923620933525</v>
      </c>
      <c r="J50" s="4">
        <v>0.95</v>
      </c>
      <c r="L50">
        <f t="shared" si="1"/>
        <v>0.13437057991513435</v>
      </c>
    </row>
    <row r="51" spans="1:13" ht="15.75" customHeight="1" x14ac:dyDescent="0.15">
      <c r="A51" s="2">
        <v>45870</v>
      </c>
      <c r="B51" t="s">
        <v>24</v>
      </c>
      <c r="C51" s="1">
        <v>5</v>
      </c>
      <c r="D51" s="4">
        <v>4.0599999999999996</v>
      </c>
      <c r="E51" s="1">
        <v>2.88</v>
      </c>
      <c r="F51" s="4">
        <v>1.88</v>
      </c>
      <c r="G51" s="5">
        <f>AVERAGE(F51:F57)</f>
        <v>1.6400000000000001</v>
      </c>
      <c r="H51">
        <f t="shared" si="0"/>
        <v>0.27089337175792505</v>
      </c>
      <c r="I51" s="5">
        <f>AVERAGE(H51:H57)</f>
        <v>0.2801244372729223</v>
      </c>
      <c r="J51" s="4">
        <v>1.06</v>
      </c>
      <c r="K51" s="5">
        <f>AVERAGE(J51:J57)</f>
        <v>1.01</v>
      </c>
      <c r="L51">
        <f t="shared" si="1"/>
        <v>0.1527377521613833</v>
      </c>
      <c r="M51" s="5">
        <f>AVERAGE(L51:L57)</f>
        <v>0.17133184104796464</v>
      </c>
    </row>
    <row r="52" spans="1:13" ht="13" x14ac:dyDescent="0.15">
      <c r="A52" s="2">
        <v>45871</v>
      </c>
      <c r="B52" t="s">
        <v>24</v>
      </c>
      <c r="C52" s="1">
        <v>3</v>
      </c>
      <c r="D52" s="4">
        <v>3.35</v>
      </c>
      <c r="E52" s="1">
        <v>2.81</v>
      </c>
      <c r="F52" s="4">
        <v>1.93</v>
      </c>
      <c r="H52">
        <f t="shared" si="0"/>
        <v>0.31331168831168832</v>
      </c>
      <c r="J52" s="4">
        <v>1.3</v>
      </c>
      <c r="L52">
        <f t="shared" si="1"/>
        <v>0.21103896103896105</v>
      </c>
    </row>
    <row r="53" spans="1:13" ht="13" x14ac:dyDescent="0.15">
      <c r="A53" s="2">
        <v>45872</v>
      </c>
      <c r="B53" t="s">
        <v>24</v>
      </c>
      <c r="C53" s="1">
        <v>3</v>
      </c>
      <c r="D53" s="4">
        <v>4.3</v>
      </c>
      <c r="E53" s="1">
        <v>2.23</v>
      </c>
      <c r="F53" s="4">
        <v>1.44</v>
      </c>
      <c r="H53">
        <f t="shared" si="0"/>
        <v>0.22052067381317</v>
      </c>
      <c r="J53" s="4">
        <v>1.1200000000000001</v>
      </c>
      <c r="L53">
        <f t="shared" si="1"/>
        <v>0.17151607963246557</v>
      </c>
    </row>
    <row r="54" spans="1:13" ht="13" x14ac:dyDescent="0.15">
      <c r="A54" s="2">
        <v>45873</v>
      </c>
      <c r="B54" t="s">
        <v>24</v>
      </c>
      <c r="C54" s="1">
        <v>3</v>
      </c>
      <c r="D54" s="4">
        <v>3.69</v>
      </c>
      <c r="E54" s="1">
        <v>2.94</v>
      </c>
      <c r="F54" s="4">
        <v>2.02</v>
      </c>
      <c r="H54">
        <f t="shared" si="0"/>
        <v>0.30467571644042235</v>
      </c>
      <c r="J54" s="4">
        <v>1.18</v>
      </c>
      <c r="L54">
        <f t="shared" si="1"/>
        <v>0.17797888386123681</v>
      </c>
    </row>
    <row r="55" spans="1:13" ht="13" x14ac:dyDescent="0.15">
      <c r="A55" s="2">
        <v>45874</v>
      </c>
      <c r="B55" t="s">
        <v>24</v>
      </c>
      <c r="C55" s="1">
        <v>3</v>
      </c>
      <c r="D55" s="4">
        <v>3.46</v>
      </c>
      <c r="E55" s="1">
        <v>2.16</v>
      </c>
      <c r="F55" s="4">
        <v>1.4</v>
      </c>
      <c r="H55">
        <f t="shared" si="0"/>
        <v>0.24911032028469748</v>
      </c>
      <c r="J55" s="4">
        <v>0.96</v>
      </c>
      <c r="L55">
        <f t="shared" si="1"/>
        <v>0.17081850533807827</v>
      </c>
    </row>
    <row r="56" spans="1:13" ht="13" x14ac:dyDescent="0.15">
      <c r="A56" s="2">
        <v>45875</v>
      </c>
      <c r="B56" t="s">
        <v>24</v>
      </c>
      <c r="C56" s="1">
        <v>3</v>
      </c>
      <c r="D56" s="4">
        <v>2.31</v>
      </c>
      <c r="E56" s="1">
        <v>1.74</v>
      </c>
      <c r="F56" s="4">
        <v>1.1000000000000001</v>
      </c>
      <c r="H56">
        <f t="shared" si="0"/>
        <v>0.27160493827160498</v>
      </c>
      <c r="J56" s="4">
        <v>0.65</v>
      </c>
      <c r="L56">
        <f t="shared" si="1"/>
        <v>0.16049382716049385</v>
      </c>
    </row>
    <row r="57" spans="1:13" ht="13" x14ac:dyDescent="0.15">
      <c r="A57" s="2">
        <v>45876</v>
      </c>
      <c r="B57" t="s">
        <v>24</v>
      </c>
      <c r="C57" s="1">
        <v>4</v>
      </c>
      <c r="D57" s="4">
        <v>2.57</v>
      </c>
      <c r="E57" s="1">
        <v>2.6</v>
      </c>
      <c r="F57" s="4">
        <v>1.71</v>
      </c>
      <c r="H57">
        <f t="shared" si="0"/>
        <v>0.33075435203094777</v>
      </c>
      <c r="J57" s="4">
        <v>0.8</v>
      </c>
      <c r="L57">
        <f t="shared" si="1"/>
        <v>0.15473887814313347</v>
      </c>
    </row>
    <row r="58" spans="1:13" ht="13" x14ac:dyDescent="0.15">
      <c r="A58" s="2">
        <v>45901</v>
      </c>
      <c r="B58" t="s">
        <v>25</v>
      </c>
      <c r="C58" s="1">
        <v>3</v>
      </c>
      <c r="D58" s="4">
        <v>4.04</v>
      </c>
      <c r="E58" s="1">
        <v>1.36</v>
      </c>
      <c r="F58" s="4">
        <v>0.66</v>
      </c>
      <c r="G58" s="5">
        <f>AVERAGE(F58:F64)</f>
        <v>1.637142857142857</v>
      </c>
      <c r="H58">
        <f t="shared" si="0"/>
        <v>0.12222222222222222</v>
      </c>
      <c r="I58" s="5">
        <f>AVERAGE(H58:H64)</f>
        <v>0.23975204946869258</v>
      </c>
      <c r="J58" s="4">
        <v>1.06</v>
      </c>
      <c r="K58" s="5">
        <f>AVERAGE(J58:J64)</f>
        <v>1.0671428571428572</v>
      </c>
      <c r="L58">
        <f t="shared" si="1"/>
        <v>0.1962962962962963</v>
      </c>
      <c r="M58" s="5">
        <f>AVERAGE(L58:L64)</f>
        <v>0.16000148473180473</v>
      </c>
    </row>
    <row r="59" spans="1:13" ht="13" x14ac:dyDescent="0.15">
      <c r="A59" s="2">
        <v>45902</v>
      </c>
      <c r="B59" t="s">
        <v>25</v>
      </c>
      <c r="C59" s="1">
        <v>5</v>
      </c>
      <c r="D59" s="4">
        <v>3.73</v>
      </c>
      <c r="E59" s="1">
        <v>2.56</v>
      </c>
      <c r="F59" s="4">
        <v>1.73</v>
      </c>
      <c r="H59">
        <f t="shared" si="0"/>
        <v>0.27503974562798089</v>
      </c>
      <c r="J59" s="4">
        <v>0.87</v>
      </c>
      <c r="L59">
        <f t="shared" si="1"/>
        <v>0.13831478537360889</v>
      </c>
    </row>
    <row r="60" spans="1:13" ht="13" x14ac:dyDescent="0.15">
      <c r="A60" s="2">
        <v>45903</v>
      </c>
      <c r="B60" t="s">
        <v>25</v>
      </c>
      <c r="C60" s="1">
        <v>4</v>
      </c>
      <c r="D60" s="4">
        <v>4.8899999999999997</v>
      </c>
      <c r="E60" s="1">
        <v>3.19</v>
      </c>
      <c r="F60" s="4">
        <v>2.0699999999999998</v>
      </c>
      <c r="H60">
        <f t="shared" si="0"/>
        <v>0.25618811881188119</v>
      </c>
      <c r="J60" s="4">
        <v>1.18</v>
      </c>
      <c r="L60">
        <f t="shared" si="1"/>
        <v>0.14603960396039603</v>
      </c>
    </row>
    <row r="61" spans="1:13" ht="13" x14ac:dyDescent="0.15">
      <c r="A61" s="2">
        <v>45904</v>
      </c>
      <c r="B61" t="s">
        <v>25</v>
      </c>
      <c r="C61" s="1">
        <v>5</v>
      </c>
      <c r="D61" s="4">
        <v>3.97</v>
      </c>
      <c r="E61" s="1">
        <v>2.5299999999999998</v>
      </c>
      <c r="F61" s="4">
        <v>1.61</v>
      </c>
      <c r="H61">
        <f t="shared" si="0"/>
        <v>0.24769230769230771</v>
      </c>
      <c r="J61" s="4">
        <v>1.06</v>
      </c>
      <c r="L61">
        <f t="shared" si="1"/>
        <v>0.16307692307692309</v>
      </c>
    </row>
    <row r="62" spans="1:13" ht="13" x14ac:dyDescent="0.15">
      <c r="A62" s="2">
        <v>45905</v>
      </c>
      <c r="B62" t="s">
        <v>25</v>
      </c>
      <c r="C62" s="1">
        <v>4</v>
      </c>
      <c r="D62" s="4">
        <v>4.3499999999999996</v>
      </c>
      <c r="E62" s="1">
        <v>2.6</v>
      </c>
      <c r="F62" s="4">
        <v>1.68</v>
      </c>
      <c r="H62">
        <f t="shared" si="0"/>
        <v>0.24172661870503598</v>
      </c>
      <c r="J62" s="4">
        <v>1.28</v>
      </c>
      <c r="L62">
        <f t="shared" si="1"/>
        <v>0.18417266187050363</v>
      </c>
    </row>
    <row r="63" spans="1:13" ht="13" x14ac:dyDescent="0.15">
      <c r="A63" s="2">
        <v>45906</v>
      </c>
      <c r="B63" t="s">
        <v>25</v>
      </c>
      <c r="C63" s="1">
        <v>3</v>
      </c>
      <c r="D63" s="4">
        <v>3.77</v>
      </c>
      <c r="E63" s="1">
        <v>2.67</v>
      </c>
      <c r="F63" s="4">
        <v>1.69</v>
      </c>
      <c r="H63">
        <f t="shared" si="0"/>
        <v>0.26242236024844723</v>
      </c>
      <c r="J63" s="4">
        <v>0.95</v>
      </c>
      <c r="L63">
        <f t="shared" si="1"/>
        <v>0.14751552795031056</v>
      </c>
    </row>
    <row r="64" spans="1:13" ht="13" x14ac:dyDescent="0.15">
      <c r="A64" s="2">
        <v>45907</v>
      </c>
      <c r="B64" t="s">
        <v>25</v>
      </c>
      <c r="C64" s="1">
        <v>4</v>
      </c>
      <c r="D64" s="4">
        <v>4.41</v>
      </c>
      <c r="E64" s="1">
        <v>2.99</v>
      </c>
      <c r="F64" s="4">
        <v>2.02</v>
      </c>
      <c r="H64">
        <f t="shared" si="0"/>
        <v>0.27297297297297296</v>
      </c>
      <c r="J64" s="4">
        <v>1.07</v>
      </c>
      <c r="L64">
        <f t="shared" si="1"/>
        <v>0.14459459459459459</v>
      </c>
    </row>
    <row r="65" spans="1:13" ht="13" x14ac:dyDescent="0.15">
      <c r="A65" s="2">
        <v>45931</v>
      </c>
      <c r="B65" t="s">
        <v>28</v>
      </c>
      <c r="C65" s="1">
        <v>3</v>
      </c>
      <c r="D65" s="4">
        <v>3.03</v>
      </c>
      <c r="E65" s="1">
        <v>2.0699999999999998</v>
      </c>
      <c r="F65" s="4">
        <v>1.1599999999999999</v>
      </c>
      <c r="G65" s="5">
        <f>AVERAGE(F65:F71)</f>
        <v>1.3485714285714285</v>
      </c>
      <c r="H65">
        <f t="shared" si="0"/>
        <v>0.22745098039215686</v>
      </c>
      <c r="I65" s="5">
        <f>AVERAGE(H65:H71)</f>
        <v>0.3006746252380173</v>
      </c>
      <c r="J65" s="4">
        <v>1.1399999999999999</v>
      </c>
      <c r="K65" s="5">
        <f>AVERAGE(J65:J71)</f>
        <v>0.66714285714285715</v>
      </c>
      <c r="L65">
        <f t="shared" si="1"/>
        <v>0.22352941176470587</v>
      </c>
      <c r="M65" s="5">
        <f>AVERAGE(L65:L71)</f>
        <v>0.14712466642642491</v>
      </c>
    </row>
    <row r="66" spans="1:13" ht="13" x14ac:dyDescent="0.15">
      <c r="A66" s="2">
        <v>45932</v>
      </c>
      <c r="B66" t="s">
        <v>28</v>
      </c>
      <c r="C66" s="1">
        <v>3</v>
      </c>
      <c r="D66" s="4">
        <v>2.2999999999999998</v>
      </c>
      <c r="E66" s="1">
        <v>2.4500000000000002</v>
      </c>
      <c r="F66" s="4">
        <v>1.63</v>
      </c>
      <c r="H66">
        <f t="shared" si="0"/>
        <v>0.34315789473684211</v>
      </c>
      <c r="J66" s="4">
        <v>0.65</v>
      </c>
      <c r="L66">
        <f t="shared" si="1"/>
        <v>0.1368421052631579</v>
      </c>
    </row>
    <row r="67" spans="1:13" ht="13" x14ac:dyDescent="0.15">
      <c r="A67" s="2">
        <v>45933</v>
      </c>
      <c r="B67" t="s">
        <v>28</v>
      </c>
      <c r="C67" s="1">
        <v>3</v>
      </c>
      <c r="D67" s="4">
        <v>2.2000000000000002</v>
      </c>
      <c r="E67" s="1">
        <v>2.5099999999999998</v>
      </c>
      <c r="F67" s="4">
        <v>1.58</v>
      </c>
      <c r="H67">
        <f t="shared" ref="H67:H99" si="2">F67/(E67+D67)</f>
        <v>0.33545647558386416</v>
      </c>
      <c r="J67" s="4">
        <v>0.75</v>
      </c>
      <c r="L67">
        <f t="shared" ref="L67:L99" si="3">J67/(E67+D67)</f>
        <v>0.15923566878980891</v>
      </c>
    </row>
    <row r="68" spans="1:13" ht="13" x14ac:dyDescent="0.15">
      <c r="A68" s="2">
        <v>45934</v>
      </c>
      <c r="B68" t="s">
        <v>28</v>
      </c>
      <c r="C68" s="1">
        <v>5</v>
      </c>
      <c r="D68" s="4">
        <v>2.89</v>
      </c>
      <c r="E68" s="1">
        <v>2.71</v>
      </c>
      <c r="F68" s="4">
        <v>1.68</v>
      </c>
      <c r="H68">
        <f t="shared" si="2"/>
        <v>0.3</v>
      </c>
      <c r="J68" s="4">
        <v>0.63</v>
      </c>
      <c r="L68">
        <f t="shared" si="3"/>
        <v>0.1125</v>
      </c>
    </row>
    <row r="69" spans="1:13" ht="13" x14ac:dyDescent="0.15">
      <c r="A69" s="2">
        <v>45935</v>
      </c>
      <c r="B69" t="s">
        <v>28</v>
      </c>
      <c r="C69" s="1">
        <v>3</v>
      </c>
      <c r="D69" s="4">
        <v>2.5</v>
      </c>
      <c r="E69" s="1">
        <v>2.3199999999999998</v>
      </c>
      <c r="F69" s="4">
        <v>1.67</v>
      </c>
      <c r="H69">
        <f t="shared" si="2"/>
        <v>0.34647302904564314</v>
      </c>
      <c r="J69" s="4">
        <v>0.65</v>
      </c>
      <c r="L69">
        <f t="shared" si="3"/>
        <v>0.13485477178423236</v>
      </c>
    </row>
    <row r="70" spans="1:13" ht="13" x14ac:dyDescent="0.15">
      <c r="A70" s="2">
        <v>45936</v>
      </c>
      <c r="B70" t="s">
        <v>28</v>
      </c>
      <c r="C70" s="1">
        <v>3</v>
      </c>
      <c r="D70" s="4">
        <v>1.44</v>
      </c>
      <c r="E70" s="1">
        <v>1.1599999999999999</v>
      </c>
      <c r="F70" s="4">
        <v>0.9</v>
      </c>
      <c r="H70">
        <f t="shared" si="2"/>
        <v>0.3461538461538462</v>
      </c>
      <c r="J70" s="4">
        <v>0.37</v>
      </c>
      <c r="L70">
        <f t="shared" si="3"/>
        <v>0.14230769230769233</v>
      </c>
    </row>
    <row r="71" spans="1:13" ht="13" x14ac:dyDescent="0.15">
      <c r="A71" s="2">
        <v>45937</v>
      </c>
      <c r="B71" t="s">
        <v>28</v>
      </c>
      <c r="C71" s="1">
        <v>6</v>
      </c>
      <c r="D71" s="4">
        <v>2.5499999999999998</v>
      </c>
      <c r="E71" s="1">
        <v>1.43</v>
      </c>
      <c r="F71" s="4">
        <v>0.82</v>
      </c>
      <c r="H71">
        <f t="shared" si="2"/>
        <v>0.20603015075376885</v>
      </c>
      <c r="J71" s="4">
        <v>0.48</v>
      </c>
      <c r="L71">
        <f t="shared" si="3"/>
        <v>0.12060301507537689</v>
      </c>
    </row>
    <row r="72" spans="1:13" ht="13" x14ac:dyDescent="0.15">
      <c r="A72" s="2">
        <v>45962</v>
      </c>
      <c r="B72" s="4" t="s">
        <v>27</v>
      </c>
      <c r="C72" s="1">
        <v>3</v>
      </c>
      <c r="D72" s="4">
        <v>2.63</v>
      </c>
      <c r="E72" s="1">
        <v>2.27</v>
      </c>
      <c r="F72" s="4">
        <v>1.68</v>
      </c>
      <c r="G72" s="5">
        <f>AVERAGE(F72:F78)</f>
        <v>1.4342857142857144</v>
      </c>
      <c r="H72">
        <f t="shared" si="2"/>
        <v>0.3428571428571428</v>
      </c>
      <c r="I72" s="5">
        <f>AVERAGE(H72:H78)</f>
        <v>0.29622685767138768</v>
      </c>
      <c r="J72" s="4">
        <v>0.75</v>
      </c>
      <c r="K72" s="5">
        <f>AVERAGE(J72:J78)</f>
        <v>0.77714285714285702</v>
      </c>
      <c r="L72">
        <f t="shared" si="3"/>
        <v>0.15306122448979589</v>
      </c>
      <c r="M72" s="5">
        <f>AVERAGE(L72:L78)</f>
        <v>0.16683525505443722</v>
      </c>
    </row>
    <row r="73" spans="1:13" ht="13" x14ac:dyDescent="0.15">
      <c r="A73" s="2">
        <v>45963</v>
      </c>
      <c r="B73" s="4" t="s">
        <v>27</v>
      </c>
      <c r="C73" s="1">
        <v>4</v>
      </c>
      <c r="D73" s="4">
        <v>1.99</v>
      </c>
      <c r="E73" s="1">
        <v>1.74</v>
      </c>
      <c r="F73" s="4">
        <v>1.2</v>
      </c>
      <c r="H73">
        <f t="shared" si="2"/>
        <v>0.32171581769436997</v>
      </c>
      <c r="J73" s="4">
        <v>0.64</v>
      </c>
      <c r="L73">
        <f t="shared" si="3"/>
        <v>0.17158176943699732</v>
      </c>
    </row>
    <row r="74" spans="1:13" ht="13" x14ac:dyDescent="0.15">
      <c r="A74" s="2">
        <v>45964</v>
      </c>
      <c r="B74" s="4" t="s">
        <v>27</v>
      </c>
      <c r="C74" s="1">
        <v>4</v>
      </c>
      <c r="D74" s="4">
        <v>3.2</v>
      </c>
      <c r="E74" s="1">
        <v>3.71</v>
      </c>
      <c r="F74" s="4">
        <v>2.7</v>
      </c>
      <c r="H74">
        <f t="shared" si="2"/>
        <v>0.39073806078147616</v>
      </c>
      <c r="J74" s="4">
        <v>1.1100000000000001</v>
      </c>
      <c r="L74">
        <f t="shared" si="3"/>
        <v>0.16063675832127353</v>
      </c>
    </row>
    <row r="75" spans="1:13" ht="13" x14ac:dyDescent="0.15">
      <c r="A75" s="2">
        <v>45965</v>
      </c>
      <c r="B75" s="4" t="s">
        <v>27</v>
      </c>
      <c r="C75" s="1">
        <v>3</v>
      </c>
      <c r="D75" s="4">
        <v>2.38</v>
      </c>
      <c r="E75" s="1">
        <v>2.16</v>
      </c>
      <c r="F75" s="4">
        <v>1.4</v>
      </c>
      <c r="H75">
        <f t="shared" si="2"/>
        <v>0.30837004405286339</v>
      </c>
      <c r="J75" s="4">
        <v>0.76</v>
      </c>
      <c r="L75">
        <f t="shared" si="3"/>
        <v>0.16740088105726872</v>
      </c>
    </row>
    <row r="76" spans="1:13" ht="13" x14ac:dyDescent="0.15">
      <c r="A76" s="2">
        <v>45966</v>
      </c>
      <c r="B76" s="4" t="s">
        <v>27</v>
      </c>
      <c r="C76" s="1">
        <v>5</v>
      </c>
      <c r="D76" s="4">
        <v>2.44</v>
      </c>
      <c r="E76" s="1">
        <v>1.41</v>
      </c>
      <c r="F76" s="4">
        <v>0.76</v>
      </c>
      <c r="H76">
        <f t="shared" si="2"/>
        <v>0.19740259740259741</v>
      </c>
      <c r="J76" s="4">
        <v>0.73</v>
      </c>
      <c r="L76">
        <f t="shared" si="3"/>
        <v>0.18961038961038962</v>
      </c>
    </row>
    <row r="77" spans="1:13" ht="13" x14ac:dyDescent="0.15">
      <c r="A77" s="2">
        <v>45967</v>
      </c>
      <c r="B77" s="4" t="s">
        <v>27</v>
      </c>
      <c r="C77" s="1">
        <v>3</v>
      </c>
      <c r="D77" s="4">
        <v>2.81</v>
      </c>
      <c r="E77" s="1">
        <v>1.5</v>
      </c>
      <c r="F77" s="4">
        <v>0.9</v>
      </c>
      <c r="H77">
        <f t="shared" si="2"/>
        <v>0.20881670533642691</v>
      </c>
      <c r="J77" s="4">
        <v>0.73</v>
      </c>
      <c r="L77">
        <f t="shared" si="3"/>
        <v>0.1693735498839907</v>
      </c>
    </row>
    <row r="78" spans="1:13" ht="13" x14ac:dyDescent="0.15">
      <c r="A78" s="2">
        <v>45968</v>
      </c>
      <c r="B78" s="4" t="s">
        <v>27</v>
      </c>
      <c r="C78" s="1">
        <v>4</v>
      </c>
      <c r="D78" s="4">
        <v>2.5</v>
      </c>
      <c r="E78" s="1">
        <v>2.11</v>
      </c>
      <c r="F78" s="4">
        <v>1.4</v>
      </c>
      <c r="H78">
        <f t="shared" si="2"/>
        <v>0.30368763557483736</v>
      </c>
      <c r="J78" s="4">
        <v>0.72</v>
      </c>
      <c r="L78">
        <f t="shared" si="3"/>
        <v>0.1561822125813449</v>
      </c>
    </row>
    <row r="79" spans="1:13" ht="13" x14ac:dyDescent="0.15">
      <c r="A79" s="2">
        <v>45992</v>
      </c>
      <c r="B79" t="s">
        <v>26</v>
      </c>
      <c r="C79" s="1">
        <v>5</v>
      </c>
      <c r="D79" s="4">
        <v>3.73</v>
      </c>
      <c r="E79" s="1">
        <v>2.64</v>
      </c>
      <c r="F79" s="4">
        <v>1.74</v>
      </c>
      <c r="G79" s="5">
        <f>AVERAGE(F79:F85)</f>
        <v>1.7257142857142855</v>
      </c>
      <c r="H79">
        <f t="shared" si="2"/>
        <v>0.27315541601255888</v>
      </c>
      <c r="I79" s="5">
        <f>AVERAGE(H79:H85)</f>
        <v>0.28358158428915547</v>
      </c>
      <c r="J79" s="4">
        <v>1.26</v>
      </c>
      <c r="K79" s="5">
        <f>AVERAGE(J79:J85)</f>
        <v>1.1171428571428572</v>
      </c>
      <c r="L79">
        <f t="shared" si="3"/>
        <v>0.19780219780219779</v>
      </c>
      <c r="M79" s="5">
        <f>AVERAGE(L79:L85)</f>
        <v>0.18327639568095319</v>
      </c>
    </row>
    <row r="80" spans="1:13" ht="13" x14ac:dyDescent="0.15">
      <c r="A80" s="2">
        <v>45993</v>
      </c>
      <c r="B80" t="s">
        <v>26</v>
      </c>
      <c r="C80" s="1">
        <v>3</v>
      </c>
      <c r="D80" s="4">
        <v>3.36</v>
      </c>
      <c r="E80" s="1">
        <v>3.09</v>
      </c>
      <c r="F80" s="4">
        <v>2.0499999999999998</v>
      </c>
      <c r="H80">
        <f t="shared" si="2"/>
        <v>0.31782945736434109</v>
      </c>
      <c r="J80" s="4">
        <v>1.83</v>
      </c>
      <c r="L80">
        <f t="shared" si="3"/>
        <v>0.28372093023255818</v>
      </c>
    </row>
    <row r="81" spans="1:13" ht="13" x14ac:dyDescent="0.15">
      <c r="A81" s="2">
        <v>45994</v>
      </c>
      <c r="B81" t="s">
        <v>26</v>
      </c>
      <c r="C81" s="1">
        <v>5</v>
      </c>
      <c r="D81" s="4">
        <v>3.66</v>
      </c>
      <c r="E81" s="1">
        <v>3.05</v>
      </c>
      <c r="F81" s="4">
        <v>2.06</v>
      </c>
      <c r="H81">
        <f t="shared" si="2"/>
        <v>0.30700447093889716</v>
      </c>
      <c r="J81" s="4">
        <v>1.17</v>
      </c>
      <c r="L81">
        <f t="shared" si="3"/>
        <v>0.17436661698956779</v>
      </c>
    </row>
    <row r="82" spans="1:13" ht="13" x14ac:dyDescent="0.15">
      <c r="A82" s="2">
        <v>45995</v>
      </c>
      <c r="B82" t="s">
        <v>26</v>
      </c>
      <c r="C82" s="1">
        <v>4</v>
      </c>
      <c r="D82" s="4">
        <v>3.5</v>
      </c>
      <c r="E82" s="1">
        <v>2.8</v>
      </c>
      <c r="F82" s="4">
        <v>1.93</v>
      </c>
      <c r="H82">
        <f t="shared" si="2"/>
        <v>0.30634920634920637</v>
      </c>
      <c r="J82" s="4">
        <v>1.1599999999999999</v>
      </c>
      <c r="L82">
        <f t="shared" si="3"/>
        <v>0.18412698412698411</v>
      </c>
    </row>
    <row r="83" spans="1:13" ht="13" x14ac:dyDescent="0.15">
      <c r="A83" s="2">
        <v>45996</v>
      </c>
      <c r="B83" t="s">
        <v>26</v>
      </c>
      <c r="C83" s="1">
        <v>3</v>
      </c>
      <c r="D83" s="4">
        <v>2.48</v>
      </c>
      <c r="E83" s="1">
        <v>1.85</v>
      </c>
      <c r="F83" s="4">
        <v>1.35</v>
      </c>
      <c r="H83">
        <f t="shared" si="2"/>
        <v>0.31177829099307158</v>
      </c>
      <c r="J83" s="4">
        <v>0.85</v>
      </c>
      <c r="L83">
        <f t="shared" si="3"/>
        <v>0.19630484988452654</v>
      </c>
    </row>
    <row r="84" spans="1:13" ht="13" x14ac:dyDescent="0.15">
      <c r="A84" s="2">
        <v>45997</v>
      </c>
      <c r="B84" t="s">
        <v>26</v>
      </c>
      <c r="C84" s="1">
        <v>3</v>
      </c>
      <c r="D84" s="4">
        <v>3.49</v>
      </c>
      <c r="E84" s="1">
        <v>2.63</v>
      </c>
      <c r="F84" s="4">
        <v>1.85</v>
      </c>
      <c r="H84">
        <f t="shared" si="2"/>
        <v>0.30228758169934644</v>
      </c>
      <c r="J84" s="4">
        <v>0.99</v>
      </c>
      <c r="L84">
        <f t="shared" si="3"/>
        <v>0.16176470588235295</v>
      </c>
    </row>
    <row r="85" spans="1:13" ht="13" x14ac:dyDescent="0.15">
      <c r="A85" s="2">
        <v>45998</v>
      </c>
      <c r="B85" t="s">
        <v>26</v>
      </c>
      <c r="C85" s="1">
        <v>3</v>
      </c>
      <c r="D85" s="4">
        <v>4.59</v>
      </c>
      <c r="E85" s="1">
        <v>2.0099999999999998</v>
      </c>
      <c r="F85" s="4">
        <v>1.1000000000000001</v>
      </c>
      <c r="H85">
        <f t="shared" si="2"/>
        <v>0.16666666666666669</v>
      </c>
      <c r="J85" s="4">
        <v>0.56000000000000005</v>
      </c>
      <c r="L85">
        <f t="shared" si="3"/>
        <v>8.4848484848484867E-2</v>
      </c>
    </row>
    <row r="86" spans="1:13" ht="13" x14ac:dyDescent="0.15">
      <c r="A86" s="3" t="s">
        <v>0</v>
      </c>
      <c r="B86" t="s">
        <v>29</v>
      </c>
      <c r="C86" s="1">
        <v>3</v>
      </c>
      <c r="D86" s="4">
        <v>4.3499999999999996</v>
      </c>
      <c r="E86" s="1">
        <v>2.76</v>
      </c>
      <c r="F86" s="4">
        <v>1.97</v>
      </c>
      <c r="G86" s="5">
        <f>AVERAGE(F86:F92)</f>
        <v>1.3314285714285712</v>
      </c>
      <c r="H86">
        <f t="shared" si="2"/>
        <v>0.27707454289732775</v>
      </c>
      <c r="I86" s="5">
        <f>AVERAGE(H86:H92)</f>
        <v>0.22169704812464275</v>
      </c>
      <c r="J86" s="4">
        <v>0.97</v>
      </c>
      <c r="K86" s="5">
        <f>AVERAGE(J86:J92)</f>
        <v>0.93714285714285717</v>
      </c>
      <c r="L86">
        <f t="shared" si="3"/>
        <v>0.13642756680731366</v>
      </c>
      <c r="M86" s="5">
        <f>AVERAGE(L86:L92)</f>
        <v>0.16084079548040298</v>
      </c>
    </row>
    <row r="87" spans="1:13" ht="13" x14ac:dyDescent="0.15">
      <c r="A87" s="3" t="s">
        <v>1</v>
      </c>
      <c r="B87" t="s">
        <v>29</v>
      </c>
      <c r="C87" s="1">
        <v>4</v>
      </c>
      <c r="D87" s="4">
        <v>3.87</v>
      </c>
      <c r="E87" s="1">
        <v>2.04</v>
      </c>
      <c r="F87" s="4">
        <v>1.21</v>
      </c>
      <c r="H87">
        <f t="shared" si="2"/>
        <v>0.20473773265651438</v>
      </c>
      <c r="J87" s="4">
        <v>0.83</v>
      </c>
      <c r="L87">
        <f t="shared" si="3"/>
        <v>0.14043993231810489</v>
      </c>
    </row>
    <row r="88" spans="1:13" ht="13" x14ac:dyDescent="0.15">
      <c r="A88" s="3" t="s">
        <v>2</v>
      </c>
      <c r="B88" t="s">
        <v>29</v>
      </c>
      <c r="C88" s="1">
        <v>2</v>
      </c>
      <c r="D88" s="4">
        <v>4.5999999999999996</v>
      </c>
      <c r="E88" s="1">
        <v>1.21</v>
      </c>
      <c r="F88" s="4">
        <v>0.87</v>
      </c>
      <c r="H88">
        <f t="shared" si="2"/>
        <v>0.14974182444061962</v>
      </c>
      <c r="J88" s="4">
        <v>1.28</v>
      </c>
      <c r="L88">
        <f t="shared" si="3"/>
        <v>0.22030981067125646</v>
      </c>
    </row>
    <row r="89" spans="1:13" ht="13" x14ac:dyDescent="0.15">
      <c r="A89" s="3" t="s">
        <v>3</v>
      </c>
      <c r="B89" t="s">
        <v>29</v>
      </c>
      <c r="C89" s="1">
        <v>4</v>
      </c>
      <c r="D89" s="4">
        <v>3.52</v>
      </c>
      <c r="E89" s="1">
        <v>2.71</v>
      </c>
      <c r="F89" s="4">
        <v>1.73</v>
      </c>
      <c r="H89">
        <f t="shared" si="2"/>
        <v>0.27768860353130015</v>
      </c>
      <c r="J89" s="4">
        <v>0.78</v>
      </c>
      <c r="L89">
        <f t="shared" si="3"/>
        <v>0.12520064205457462</v>
      </c>
    </row>
    <row r="90" spans="1:13" ht="13" x14ac:dyDescent="0.15">
      <c r="A90" s="3" t="s">
        <v>4</v>
      </c>
      <c r="B90" t="s">
        <v>29</v>
      </c>
      <c r="C90" s="1">
        <v>2</v>
      </c>
      <c r="D90" s="4">
        <v>3.69</v>
      </c>
      <c r="E90" s="1">
        <v>2.21</v>
      </c>
      <c r="F90" s="4">
        <v>1.61</v>
      </c>
      <c r="H90">
        <f t="shared" si="2"/>
        <v>0.27288135593220342</v>
      </c>
      <c r="J90" s="4">
        <v>0.82</v>
      </c>
      <c r="L90">
        <f t="shared" si="3"/>
        <v>0.1389830508474576</v>
      </c>
    </row>
    <row r="91" spans="1:13" ht="13" x14ac:dyDescent="0.15">
      <c r="A91" s="3" t="s">
        <v>5</v>
      </c>
      <c r="B91" t="s">
        <v>29</v>
      </c>
      <c r="C91" s="1">
        <v>3</v>
      </c>
      <c r="D91" s="4">
        <v>3.43</v>
      </c>
      <c r="E91" s="1">
        <v>1.87</v>
      </c>
      <c r="F91" s="4">
        <v>1.33</v>
      </c>
      <c r="H91">
        <f t="shared" si="2"/>
        <v>0.25094339622641509</v>
      </c>
      <c r="J91" s="4">
        <v>0.83</v>
      </c>
      <c r="L91">
        <f t="shared" si="3"/>
        <v>0.15660377358490563</v>
      </c>
    </row>
    <row r="92" spans="1:13" ht="13" x14ac:dyDescent="0.15">
      <c r="A92" s="3" t="s">
        <v>6</v>
      </c>
      <c r="B92" t="s">
        <v>29</v>
      </c>
      <c r="C92" s="1">
        <v>3</v>
      </c>
      <c r="D92" s="4">
        <v>4.0999999999999996</v>
      </c>
      <c r="E92" s="1">
        <v>0.95</v>
      </c>
      <c r="F92" s="4">
        <v>0.6</v>
      </c>
      <c r="H92">
        <f t="shared" si="2"/>
        <v>0.11881188118811881</v>
      </c>
      <c r="J92" s="4">
        <v>1.05</v>
      </c>
      <c r="L92">
        <f t="shared" si="3"/>
        <v>0.20792079207920794</v>
      </c>
    </row>
    <row r="93" spans="1:13" ht="13" x14ac:dyDescent="0.15">
      <c r="A93" s="3" t="s">
        <v>7</v>
      </c>
      <c r="B93" t="s">
        <v>30</v>
      </c>
      <c r="C93" s="1">
        <v>3</v>
      </c>
      <c r="D93" s="4">
        <v>2.9</v>
      </c>
      <c r="E93" s="1">
        <v>1.65</v>
      </c>
      <c r="F93" s="4">
        <v>1.0900000000000001</v>
      </c>
      <c r="G93" s="5">
        <f>AVERAGE(F93:F99)</f>
        <v>1.1357142857142857</v>
      </c>
      <c r="H93">
        <f t="shared" si="2"/>
        <v>0.2395604395604396</v>
      </c>
      <c r="I93" s="5">
        <f>AVERAGE(H93:H99)</f>
        <v>0.19822190432122452</v>
      </c>
      <c r="J93" s="4">
        <v>1.1299999999999999</v>
      </c>
      <c r="K93" s="5">
        <f>AVERAGE(J93:J99)</f>
        <v>1.7914285714285714</v>
      </c>
      <c r="L93">
        <f t="shared" si="3"/>
        <v>0.24835164835164833</v>
      </c>
      <c r="M93" s="5">
        <f>AVERAGE(L93:L99)</f>
        <v>0.30493424247403267</v>
      </c>
    </row>
    <row r="94" spans="1:13" ht="13" x14ac:dyDescent="0.15">
      <c r="A94" s="3" t="s">
        <v>8</v>
      </c>
      <c r="B94" t="s">
        <v>30</v>
      </c>
      <c r="C94" s="1">
        <v>3</v>
      </c>
      <c r="D94" s="4">
        <v>3.76</v>
      </c>
      <c r="E94" s="1">
        <v>3.24</v>
      </c>
      <c r="F94" s="4">
        <v>1.42</v>
      </c>
      <c r="H94">
        <f t="shared" si="2"/>
        <v>0.20285714285714285</v>
      </c>
      <c r="J94" s="4">
        <v>1.72</v>
      </c>
      <c r="L94">
        <f t="shared" si="3"/>
        <v>0.24571428571428572</v>
      </c>
    </row>
    <row r="95" spans="1:13" ht="13" x14ac:dyDescent="0.15">
      <c r="A95" s="3" t="s">
        <v>9</v>
      </c>
      <c r="B95" t="s">
        <v>30</v>
      </c>
      <c r="C95" s="1">
        <v>4</v>
      </c>
      <c r="D95" s="4">
        <v>5.19</v>
      </c>
      <c r="E95" s="1">
        <v>1.91</v>
      </c>
      <c r="F95" s="4">
        <v>1.1599999999999999</v>
      </c>
      <c r="H95">
        <f t="shared" si="2"/>
        <v>0.16338028169014082</v>
      </c>
      <c r="J95" s="4">
        <v>2.25</v>
      </c>
      <c r="L95">
        <f t="shared" si="3"/>
        <v>0.31690140845070419</v>
      </c>
    </row>
    <row r="96" spans="1:13" ht="13" x14ac:dyDescent="0.15">
      <c r="A96" s="3" t="s">
        <v>10</v>
      </c>
      <c r="B96" t="s">
        <v>30</v>
      </c>
      <c r="C96" s="1">
        <v>5</v>
      </c>
      <c r="D96" s="4">
        <v>3.58</v>
      </c>
      <c r="E96" s="1">
        <v>1.88</v>
      </c>
      <c r="F96" s="4">
        <v>1.01</v>
      </c>
      <c r="H96">
        <f t="shared" si="2"/>
        <v>0.18498168498168499</v>
      </c>
      <c r="J96" s="4">
        <v>1.94</v>
      </c>
      <c r="L96">
        <f t="shared" si="3"/>
        <v>0.35531135531135533</v>
      </c>
    </row>
    <row r="97" spans="1:12" ht="13" x14ac:dyDescent="0.15">
      <c r="A97" s="3" t="s">
        <v>11</v>
      </c>
      <c r="B97" t="s">
        <v>30</v>
      </c>
      <c r="C97" s="1">
        <v>2</v>
      </c>
      <c r="D97" s="4">
        <v>4.34</v>
      </c>
      <c r="E97" s="1">
        <v>1.6</v>
      </c>
      <c r="F97" s="4">
        <v>1.04</v>
      </c>
      <c r="H97">
        <f t="shared" si="2"/>
        <v>0.17508417508417509</v>
      </c>
      <c r="J97" s="4">
        <v>2.5299999999999998</v>
      </c>
      <c r="L97">
        <f t="shared" si="3"/>
        <v>0.42592592592592593</v>
      </c>
    </row>
    <row r="98" spans="1:12" ht="13" x14ac:dyDescent="0.15">
      <c r="A98" s="3" t="s">
        <v>12</v>
      </c>
      <c r="B98" t="s">
        <v>30</v>
      </c>
      <c r="C98" s="1">
        <v>3</v>
      </c>
      <c r="D98" s="4">
        <v>2.82</v>
      </c>
      <c r="E98" s="1">
        <v>2.08</v>
      </c>
      <c r="F98" s="4">
        <v>1.35</v>
      </c>
      <c r="H98">
        <f t="shared" si="2"/>
        <v>0.27551020408163263</v>
      </c>
      <c r="J98" s="4">
        <v>1.29</v>
      </c>
      <c r="L98">
        <f t="shared" si="3"/>
        <v>0.26326530612244897</v>
      </c>
    </row>
    <row r="99" spans="1:12" ht="13" x14ac:dyDescent="0.15">
      <c r="A99" s="3" t="s">
        <v>13</v>
      </c>
      <c r="B99" t="s">
        <v>30</v>
      </c>
      <c r="C99" s="1">
        <v>2</v>
      </c>
      <c r="D99" s="4">
        <v>4.42</v>
      </c>
      <c r="E99" s="1">
        <v>1.6</v>
      </c>
      <c r="F99" s="4">
        <v>0.88</v>
      </c>
      <c r="H99">
        <f t="shared" si="2"/>
        <v>0.1461794019933555</v>
      </c>
      <c r="J99" s="4">
        <v>1.68</v>
      </c>
      <c r="L99">
        <f t="shared" si="3"/>
        <v>0.27906976744186046</v>
      </c>
    </row>
    <row r="100" spans="1:12" ht="13" x14ac:dyDescent="0.15">
      <c r="A100" s="3"/>
      <c r="B100" s="3"/>
      <c r="D100" s="4"/>
    </row>
    <row r="101" spans="1:12" ht="15.75" customHeight="1" x14ac:dyDescent="0.15">
      <c r="D101" s="4"/>
    </row>
    <row r="102" spans="1:12" ht="15.75" customHeight="1" x14ac:dyDescent="0.15">
      <c r="D102" s="4"/>
    </row>
    <row r="103" spans="1:12" ht="15.75" customHeight="1" x14ac:dyDescent="0.15">
      <c r="D103" s="4"/>
    </row>
    <row r="104" spans="1:12" ht="15.75" customHeight="1" x14ac:dyDescent="0.15">
      <c r="D104" s="4"/>
    </row>
    <row r="105" spans="1:12" ht="15.75" customHeight="1" x14ac:dyDescent="0.15">
      <c r="D105" s="4"/>
    </row>
    <row r="106" spans="1:12" ht="15.75" customHeight="1" x14ac:dyDescent="0.15">
      <c r="D106" s="4"/>
    </row>
    <row r="107" spans="1:12" ht="15.75" customHeight="1" x14ac:dyDescent="0.15">
      <c r="D107" s="4"/>
    </row>
    <row r="108" spans="1:12" ht="15.75" customHeight="1" x14ac:dyDescent="0.15">
      <c r="D108" s="4"/>
    </row>
    <row r="109" spans="1:12" ht="15.75" customHeight="1" x14ac:dyDescent="0.15">
      <c r="D109" s="4"/>
    </row>
    <row r="110" spans="1:12" ht="15.75" customHeight="1" x14ac:dyDescent="0.15">
      <c r="D110" s="4"/>
    </row>
    <row r="111" spans="1:12" ht="15.75" customHeight="1" x14ac:dyDescent="0.15">
      <c r="D111" s="4"/>
    </row>
    <row r="112" spans="1:12" ht="15.75" customHeight="1" x14ac:dyDescent="0.15">
      <c r="D112" s="4"/>
    </row>
    <row r="113" spans="4:4" ht="15.75" customHeight="1" x14ac:dyDescent="0.15">
      <c r="D113" s="4"/>
    </row>
    <row r="114" spans="4:4" ht="15.75" customHeight="1" x14ac:dyDescent="0.15">
      <c r="D114" s="4"/>
    </row>
    <row r="115" spans="4:4" ht="15.75" customHeight="1" x14ac:dyDescent="0.15">
      <c r="D115" s="4"/>
    </row>
    <row r="116" spans="4:4" ht="15.75" customHeight="1" x14ac:dyDescent="0.15">
      <c r="D116" s="4"/>
    </row>
    <row r="117" spans="4:4" ht="15.75" customHeight="1" x14ac:dyDescent="0.15">
      <c r="D117" s="4"/>
    </row>
    <row r="118" spans="4:4" ht="15.75" customHeight="1" x14ac:dyDescent="0.15">
      <c r="D118" s="4"/>
    </row>
    <row r="119" spans="4:4" ht="15.75" customHeight="1" x14ac:dyDescent="0.15">
      <c r="D119" s="4"/>
    </row>
    <row r="120" spans="4:4" ht="15.75" customHeight="1" x14ac:dyDescent="0.15">
      <c r="D120" s="4"/>
    </row>
    <row r="121" spans="4:4" ht="15.75" customHeight="1" x14ac:dyDescent="0.15">
      <c r="D121" s="4"/>
    </row>
    <row r="122" spans="4:4" ht="15.75" customHeight="1" x14ac:dyDescent="0.15">
      <c r="D122" s="4"/>
    </row>
    <row r="123" spans="4:4" ht="15.75" customHeight="1" x14ac:dyDescent="0.15">
      <c r="D123" s="4"/>
    </row>
    <row r="124" spans="4:4" ht="15.75" customHeight="1" x14ac:dyDescent="0.15">
      <c r="D124" s="4"/>
    </row>
    <row r="125" spans="4:4" ht="15.75" customHeight="1" x14ac:dyDescent="0.15">
      <c r="D125" s="4"/>
    </row>
    <row r="126" spans="4:4" ht="15.75" customHeight="1" x14ac:dyDescent="0.15">
      <c r="D126" s="4"/>
    </row>
    <row r="127" spans="4:4" ht="15.75" customHeight="1" x14ac:dyDescent="0.15">
      <c r="D127" s="4"/>
    </row>
    <row r="128" spans="4:4" ht="15.75" customHeight="1" x14ac:dyDescent="0.15">
      <c r="D128" s="4"/>
    </row>
    <row r="129" spans="4:4" ht="15.75" customHeight="1" x14ac:dyDescent="0.15">
      <c r="D129" s="4"/>
    </row>
    <row r="130" spans="4:4" ht="15.75" customHeight="1" x14ac:dyDescent="0.15">
      <c r="D130" s="4"/>
    </row>
    <row r="131" spans="4:4" ht="15.75" customHeight="1" x14ac:dyDescent="0.15">
      <c r="D131" s="4"/>
    </row>
    <row r="132" spans="4:4" ht="15.75" customHeight="1" x14ac:dyDescent="0.15">
      <c r="D132" s="4"/>
    </row>
    <row r="133" spans="4:4" ht="15.75" customHeight="1" x14ac:dyDescent="0.15">
      <c r="D133" s="4"/>
    </row>
    <row r="134" spans="4:4" ht="15.75" customHeight="1" x14ac:dyDescent="0.15">
      <c r="D134" s="4"/>
    </row>
    <row r="135" spans="4:4" ht="15.75" customHeight="1" x14ac:dyDescent="0.15">
      <c r="D135" s="4"/>
    </row>
    <row r="136" spans="4:4" ht="15.75" customHeight="1" x14ac:dyDescent="0.15">
      <c r="D136" s="4"/>
    </row>
    <row r="137" spans="4:4" ht="15.75" customHeight="1" x14ac:dyDescent="0.15">
      <c r="D137" s="4"/>
    </row>
    <row r="138" spans="4:4" ht="15.75" customHeight="1" x14ac:dyDescent="0.15">
      <c r="D138" s="4"/>
    </row>
    <row r="139" spans="4:4" ht="15.75" customHeight="1" x14ac:dyDescent="0.15">
      <c r="D139" s="4"/>
    </row>
    <row r="140" spans="4:4" ht="15.75" customHeight="1" x14ac:dyDescent="0.15">
      <c r="D140" s="4"/>
    </row>
    <row r="141" spans="4:4" ht="15.75" customHeight="1" x14ac:dyDescent="0.15">
      <c r="D141" s="4"/>
    </row>
    <row r="142" spans="4:4" ht="15.75" customHeight="1" x14ac:dyDescent="0.15">
      <c r="D142" s="4"/>
    </row>
    <row r="143" spans="4:4" ht="15.75" customHeight="1" x14ac:dyDescent="0.15">
      <c r="D143" s="4"/>
    </row>
    <row r="144" spans="4:4" ht="15.75" customHeight="1" x14ac:dyDescent="0.15">
      <c r="D144" s="4"/>
    </row>
    <row r="145" spans="4:4" ht="15.75" customHeight="1" x14ac:dyDescent="0.15">
      <c r="D145" s="4"/>
    </row>
    <row r="146" spans="4:4" ht="15.75" customHeight="1" x14ac:dyDescent="0.15">
      <c r="D146" s="4"/>
    </row>
    <row r="147" spans="4:4" ht="15.75" customHeight="1" x14ac:dyDescent="0.15">
      <c r="D147" s="4"/>
    </row>
    <row r="148" spans="4:4" ht="15.75" customHeight="1" x14ac:dyDescent="0.15">
      <c r="D148" s="4"/>
    </row>
    <row r="149" spans="4:4" ht="15.75" customHeight="1" x14ac:dyDescent="0.15">
      <c r="D149" s="4"/>
    </row>
    <row r="150" spans="4:4" ht="15.75" customHeight="1" x14ac:dyDescent="0.15">
      <c r="D150" s="4"/>
    </row>
    <row r="151" spans="4:4" ht="15.75" customHeight="1" x14ac:dyDescent="0.15">
      <c r="D151" s="4"/>
    </row>
    <row r="152" spans="4:4" ht="15.75" customHeight="1" x14ac:dyDescent="0.15">
      <c r="D152" s="4"/>
    </row>
    <row r="153" spans="4:4" ht="15.75" customHeight="1" x14ac:dyDescent="0.15">
      <c r="D153" s="4"/>
    </row>
    <row r="154" spans="4:4" ht="15.75" customHeight="1" x14ac:dyDescent="0.15">
      <c r="D154" s="4"/>
    </row>
    <row r="155" spans="4:4" ht="15.75" customHeight="1" x14ac:dyDescent="0.15">
      <c r="D155" s="4"/>
    </row>
    <row r="156" spans="4:4" ht="15.75" customHeight="1" x14ac:dyDescent="0.15">
      <c r="D156" s="4"/>
    </row>
    <row r="157" spans="4:4" ht="15.75" customHeight="1" x14ac:dyDescent="0.15">
      <c r="D157" s="4"/>
    </row>
    <row r="158" spans="4:4" ht="15.75" customHeight="1" x14ac:dyDescent="0.15">
      <c r="D158" s="4"/>
    </row>
    <row r="159" spans="4:4" ht="15.75" customHeight="1" x14ac:dyDescent="0.15">
      <c r="D159" s="4"/>
    </row>
    <row r="160" spans="4:4" ht="15.75" customHeight="1" x14ac:dyDescent="0.15">
      <c r="D160" s="4"/>
    </row>
    <row r="161" spans="4:4" ht="15.75" customHeight="1" x14ac:dyDescent="0.15">
      <c r="D161" s="4"/>
    </row>
    <row r="162" spans="4:4" ht="15.75" customHeight="1" x14ac:dyDescent="0.15">
      <c r="D162" s="4"/>
    </row>
    <row r="163" spans="4:4" ht="15.75" customHeight="1" x14ac:dyDescent="0.15">
      <c r="D163" s="4"/>
    </row>
    <row r="164" spans="4:4" ht="15.75" customHeight="1" x14ac:dyDescent="0.15">
      <c r="D164" s="4"/>
    </row>
    <row r="165" spans="4:4" ht="15.75" customHeight="1" x14ac:dyDescent="0.15">
      <c r="D165" s="4"/>
    </row>
    <row r="166" spans="4:4" ht="15.75" customHeight="1" x14ac:dyDescent="0.15">
      <c r="D166" s="4"/>
    </row>
    <row r="167" spans="4:4" ht="15.75" customHeight="1" x14ac:dyDescent="0.15">
      <c r="D167" s="4"/>
    </row>
    <row r="168" spans="4:4" ht="15.75" customHeight="1" x14ac:dyDescent="0.15">
      <c r="D168" s="4"/>
    </row>
    <row r="169" spans="4:4" ht="15.75" customHeight="1" x14ac:dyDescent="0.15">
      <c r="D169" s="4"/>
    </row>
    <row r="170" spans="4:4" ht="15.75" customHeight="1" x14ac:dyDescent="0.15">
      <c r="D170" s="4"/>
    </row>
    <row r="171" spans="4:4" ht="15.75" customHeight="1" x14ac:dyDescent="0.15">
      <c r="D171" s="4"/>
    </row>
    <row r="172" spans="4:4" ht="15.75" customHeight="1" x14ac:dyDescent="0.15">
      <c r="D172" s="4"/>
    </row>
    <row r="173" spans="4:4" ht="15.75" customHeight="1" x14ac:dyDescent="0.15">
      <c r="D173" s="4"/>
    </row>
    <row r="174" spans="4:4" ht="15.75" customHeight="1" x14ac:dyDescent="0.15">
      <c r="D174" s="4"/>
    </row>
    <row r="175" spans="4:4" ht="15.75" customHeight="1" x14ac:dyDescent="0.15">
      <c r="D175" s="4"/>
    </row>
    <row r="176" spans="4:4" ht="15.75" customHeight="1" x14ac:dyDescent="0.15">
      <c r="D176" s="4"/>
    </row>
    <row r="177" spans="4:4" ht="15.75" customHeight="1" x14ac:dyDescent="0.15">
      <c r="D177" s="4"/>
    </row>
    <row r="178" spans="4:4" ht="15.75" customHeight="1" x14ac:dyDescent="0.15">
      <c r="D178" s="4"/>
    </row>
    <row r="179" spans="4:4" ht="15.75" customHeight="1" x14ac:dyDescent="0.15">
      <c r="D179" s="4"/>
    </row>
    <row r="180" spans="4:4" ht="15.75" customHeight="1" x14ac:dyDescent="0.15">
      <c r="D180" s="4"/>
    </row>
    <row r="181" spans="4:4" ht="15.75" customHeight="1" x14ac:dyDescent="0.15">
      <c r="D181" s="4"/>
    </row>
    <row r="182" spans="4:4" ht="15.75" customHeight="1" x14ac:dyDescent="0.15">
      <c r="D182" s="4"/>
    </row>
    <row r="183" spans="4:4" ht="15.75" customHeight="1" x14ac:dyDescent="0.15">
      <c r="D183" s="4"/>
    </row>
    <row r="184" spans="4:4" ht="15.75" customHeight="1" x14ac:dyDescent="0.15">
      <c r="D184" s="4"/>
    </row>
    <row r="185" spans="4:4" ht="15.75" customHeight="1" x14ac:dyDescent="0.15">
      <c r="D185" s="4"/>
    </row>
    <row r="186" spans="4:4" ht="15.75" customHeight="1" x14ac:dyDescent="0.15">
      <c r="D186" s="4"/>
    </row>
    <row r="187" spans="4:4" ht="15.75" customHeight="1" x14ac:dyDescent="0.15">
      <c r="D187" s="4"/>
    </row>
    <row r="188" spans="4:4" ht="15.75" customHeight="1" x14ac:dyDescent="0.15">
      <c r="D188" s="4"/>
    </row>
    <row r="189" spans="4:4" ht="15.75" customHeight="1" x14ac:dyDescent="0.15">
      <c r="D189" s="4"/>
    </row>
    <row r="190" spans="4:4" ht="15.75" customHeight="1" x14ac:dyDescent="0.15">
      <c r="D190" s="4"/>
    </row>
    <row r="191" spans="4:4" ht="15.75" customHeight="1" x14ac:dyDescent="0.15">
      <c r="D191" s="4"/>
    </row>
    <row r="192" spans="4:4" ht="15.75" customHeight="1" x14ac:dyDescent="0.15">
      <c r="D192" s="4"/>
    </row>
    <row r="193" spans="4:4" ht="15.75" customHeight="1" x14ac:dyDescent="0.15">
      <c r="D193" s="4"/>
    </row>
    <row r="194" spans="4:4" ht="15.75" customHeight="1" x14ac:dyDescent="0.15">
      <c r="D194" s="4"/>
    </row>
    <row r="195" spans="4:4" ht="15.75" customHeight="1" x14ac:dyDescent="0.15">
      <c r="D195" s="4"/>
    </row>
    <row r="196" spans="4:4" ht="15.75" customHeight="1" x14ac:dyDescent="0.15">
      <c r="D196" s="4"/>
    </row>
    <row r="197" spans="4:4" ht="15.75" customHeight="1" x14ac:dyDescent="0.15">
      <c r="D197" s="4"/>
    </row>
    <row r="198" spans="4:4" ht="15.75" customHeight="1" x14ac:dyDescent="0.15">
      <c r="D198" s="4"/>
    </row>
    <row r="199" spans="4:4" ht="15.75" customHeight="1" x14ac:dyDescent="0.15">
      <c r="D199" s="4"/>
    </row>
    <row r="200" spans="4:4" ht="15.75" customHeight="1" x14ac:dyDescent="0.15">
      <c r="D200" s="4"/>
    </row>
    <row r="201" spans="4:4" ht="15.75" customHeight="1" x14ac:dyDescent="0.15">
      <c r="D201" s="4"/>
    </row>
    <row r="202" spans="4:4" ht="15.75" customHeight="1" x14ac:dyDescent="0.15">
      <c r="D202" s="4"/>
    </row>
    <row r="203" spans="4:4" ht="15.75" customHeight="1" x14ac:dyDescent="0.15">
      <c r="D203" s="4"/>
    </row>
    <row r="204" spans="4:4" ht="15.75" customHeight="1" x14ac:dyDescent="0.15">
      <c r="D204" s="4"/>
    </row>
    <row r="205" spans="4:4" ht="15.75" customHeight="1" x14ac:dyDescent="0.15">
      <c r="D205" s="4"/>
    </row>
    <row r="206" spans="4:4" ht="15.75" customHeight="1" x14ac:dyDescent="0.15">
      <c r="D206" s="4"/>
    </row>
    <row r="207" spans="4:4" ht="15.75" customHeight="1" x14ac:dyDescent="0.15">
      <c r="D207" s="4"/>
    </row>
    <row r="208" spans="4:4" ht="15.75" customHeight="1" x14ac:dyDescent="0.15">
      <c r="D208" s="4"/>
    </row>
    <row r="209" spans="4:4" ht="15.75" customHeight="1" x14ac:dyDescent="0.15">
      <c r="D209" s="4"/>
    </row>
    <row r="210" spans="4:4" ht="15.75" customHeight="1" x14ac:dyDescent="0.15">
      <c r="D210" s="4"/>
    </row>
    <row r="211" spans="4:4" ht="15.75" customHeight="1" x14ac:dyDescent="0.15">
      <c r="D211" s="4"/>
    </row>
    <row r="212" spans="4:4" ht="15.75" customHeight="1" x14ac:dyDescent="0.15">
      <c r="D212" s="4"/>
    </row>
    <row r="213" spans="4:4" ht="15.75" customHeight="1" x14ac:dyDescent="0.15">
      <c r="D213" s="4"/>
    </row>
    <row r="214" spans="4:4" ht="15.75" customHeight="1" x14ac:dyDescent="0.15">
      <c r="D214" s="4"/>
    </row>
    <row r="215" spans="4:4" ht="15.75" customHeight="1" x14ac:dyDescent="0.15">
      <c r="D215" s="4"/>
    </row>
    <row r="216" spans="4:4" ht="15.75" customHeight="1" x14ac:dyDescent="0.15">
      <c r="D216" s="4"/>
    </row>
    <row r="217" spans="4:4" ht="15.75" customHeight="1" x14ac:dyDescent="0.15">
      <c r="D217" s="4"/>
    </row>
    <row r="218" spans="4:4" ht="15.75" customHeight="1" x14ac:dyDescent="0.15">
      <c r="D218" s="4"/>
    </row>
    <row r="219" spans="4:4" ht="15.75" customHeight="1" x14ac:dyDescent="0.15">
      <c r="D219" s="4"/>
    </row>
    <row r="220" spans="4:4" ht="15.75" customHeight="1" x14ac:dyDescent="0.15">
      <c r="D220" s="4"/>
    </row>
    <row r="221" spans="4:4" ht="15.75" customHeight="1" x14ac:dyDescent="0.15">
      <c r="D221" s="4"/>
    </row>
    <row r="222" spans="4:4" ht="15.75" customHeight="1" x14ac:dyDescent="0.15">
      <c r="D222" s="4"/>
    </row>
    <row r="223" spans="4:4" ht="15.75" customHeight="1" x14ac:dyDescent="0.15">
      <c r="D223" s="4"/>
    </row>
    <row r="224" spans="4:4" ht="15.75" customHeight="1" x14ac:dyDescent="0.15">
      <c r="D224" s="4"/>
    </row>
    <row r="225" spans="4:4" ht="15.75" customHeight="1" x14ac:dyDescent="0.15">
      <c r="D225" s="4"/>
    </row>
    <row r="226" spans="4:4" ht="15.75" customHeight="1" x14ac:dyDescent="0.15">
      <c r="D226" s="4"/>
    </row>
    <row r="227" spans="4:4" ht="15.75" customHeight="1" x14ac:dyDescent="0.15">
      <c r="D227" s="4"/>
    </row>
    <row r="228" spans="4:4" ht="15.75" customHeight="1" x14ac:dyDescent="0.15">
      <c r="D228" s="4"/>
    </row>
    <row r="229" spans="4:4" ht="15.75" customHeight="1" x14ac:dyDescent="0.15">
      <c r="D229" s="4"/>
    </row>
    <row r="230" spans="4:4" ht="15.75" customHeight="1" x14ac:dyDescent="0.15">
      <c r="D230" s="4"/>
    </row>
    <row r="231" spans="4:4" ht="15.75" customHeight="1" x14ac:dyDescent="0.15">
      <c r="D231" s="4"/>
    </row>
    <row r="232" spans="4:4" ht="15.75" customHeight="1" x14ac:dyDescent="0.15">
      <c r="D232" s="4"/>
    </row>
    <row r="233" spans="4:4" ht="15.75" customHeight="1" x14ac:dyDescent="0.15">
      <c r="D233" s="4"/>
    </row>
    <row r="234" spans="4:4" ht="15.75" customHeight="1" x14ac:dyDescent="0.15">
      <c r="D234" s="4"/>
    </row>
    <row r="235" spans="4:4" ht="15.75" customHeight="1" x14ac:dyDescent="0.15">
      <c r="D235" s="4"/>
    </row>
    <row r="236" spans="4:4" ht="15.75" customHeight="1" x14ac:dyDescent="0.15">
      <c r="D236" s="4"/>
    </row>
    <row r="237" spans="4:4" ht="15.75" customHeight="1" x14ac:dyDescent="0.15">
      <c r="D237" s="4"/>
    </row>
    <row r="238" spans="4:4" ht="15.75" customHeight="1" x14ac:dyDescent="0.15">
      <c r="D238" s="4"/>
    </row>
    <row r="239" spans="4:4" ht="15.75" customHeight="1" x14ac:dyDescent="0.15">
      <c r="D239" s="4"/>
    </row>
    <row r="240" spans="4:4" ht="15.75" customHeight="1" x14ac:dyDescent="0.15">
      <c r="D240" s="4"/>
    </row>
    <row r="241" spans="4:4" ht="15.75" customHeight="1" x14ac:dyDescent="0.15">
      <c r="D241" s="4"/>
    </row>
    <row r="242" spans="4:4" ht="15.75" customHeight="1" x14ac:dyDescent="0.15">
      <c r="D242" s="4"/>
    </row>
    <row r="243" spans="4:4" ht="15.75" customHeight="1" x14ac:dyDescent="0.15">
      <c r="D243" s="4"/>
    </row>
    <row r="244" spans="4:4" ht="15.75" customHeight="1" x14ac:dyDescent="0.15">
      <c r="D244" s="4"/>
    </row>
    <row r="245" spans="4:4" ht="15.75" customHeight="1" x14ac:dyDescent="0.15">
      <c r="D245" s="4"/>
    </row>
    <row r="246" spans="4:4" ht="15.75" customHeight="1" x14ac:dyDescent="0.15">
      <c r="D246" s="4"/>
    </row>
    <row r="247" spans="4:4" ht="15.75" customHeight="1" x14ac:dyDescent="0.15">
      <c r="D247" s="4"/>
    </row>
    <row r="248" spans="4:4" ht="15.75" customHeight="1" x14ac:dyDescent="0.15">
      <c r="D248" s="4"/>
    </row>
    <row r="249" spans="4:4" ht="15.75" customHeight="1" x14ac:dyDescent="0.15">
      <c r="D249" s="4"/>
    </row>
    <row r="250" spans="4:4" ht="15.75" customHeight="1" x14ac:dyDescent="0.15">
      <c r="D250" s="4"/>
    </row>
    <row r="251" spans="4:4" ht="15.75" customHeight="1" x14ac:dyDescent="0.15">
      <c r="D251" s="4"/>
    </row>
    <row r="252" spans="4:4" ht="15.75" customHeight="1" x14ac:dyDescent="0.15">
      <c r="D252" s="4"/>
    </row>
    <row r="253" spans="4:4" ht="15.75" customHeight="1" x14ac:dyDescent="0.15">
      <c r="D253" s="4"/>
    </row>
    <row r="254" spans="4:4" ht="15.75" customHeight="1" x14ac:dyDescent="0.15">
      <c r="D254" s="4"/>
    </row>
    <row r="255" spans="4:4" ht="15.75" customHeight="1" x14ac:dyDescent="0.15">
      <c r="D255" s="4"/>
    </row>
    <row r="256" spans="4:4" ht="15.75" customHeight="1" x14ac:dyDescent="0.15">
      <c r="D256" s="4"/>
    </row>
    <row r="257" spans="4:4" ht="15.75" customHeight="1" x14ac:dyDescent="0.15">
      <c r="D257" s="4"/>
    </row>
    <row r="258" spans="4:4" ht="15.75" customHeight="1" x14ac:dyDescent="0.15">
      <c r="D258" s="4"/>
    </row>
    <row r="259" spans="4:4" ht="15.75" customHeight="1" x14ac:dyDescent="0.15">
      <c r="D259" s="4"/>
    </row>
    <row r="260" spans="4:4" ht="15.75" customHeight="1" x14ac:dyDescent="0.15">
      <c r="D260" s="4"/>
    </row>
    <row r="261" spans="4:4" ht="15.75" customHeight="1" x14ac:dyDescent="0.15">
      <c r="D261" s="4"/>
    </row>
    <row r="262" spans="4:4" ht="15.75" customHeight="1" x14ac:dyDescent="0.15">
      <c r="D262" s="4"/>
    </row>
    <row r="263" spans="4:4" ht="15.75" customHeight="1" x14ac:dyDescent="0.15">
      <c r="D263" s="4"/>
    </row>
    <row r="264" spans="4:4" ht="15.75" customHeight="1" x14ac:dyDescent="0.15">
      <c r="D264" s="4"/>
    </row>
    <row r="265" spans="4:4" ht="15.75" customHeight="1" x14ac:dyDescent="0.15">
      <c r="D265" s="4"/>
    </row>
    <row r="266" spans="4:4" ht="15.75" customHeight="1" x14ac:dyDescent="0.15">
      <c r="D266" s="4"/>
    </row>
    <row r="267" spans="4:4" ht="15.75" customHeight="1" x14ac:dyDescent="0.15">
      <c r="D267" s="4"/>
    </row>
    <row r="268" spans="4:4" ht="15.75" customHeight="1" x14ac:dyDescent="0.15">
      <c r="D268" s="4"/>
    </row>
    <row r="269" spans="4:4" ht="15.75" customHeight="1" x14ac:dyDescent="0.15">
      <c r="D269" s="4"/>
    </row>
    <row r="270" spans="4:4" ht="15.75" customHeight="1" x14ac:dyDescent="0.15">
      <c r="D270" s="4"/>
    </row>
    <row r="271" spans="4:4" ht="15.75" customHeight="1" x14ac:dyDescent="0.15">
      <c r="D271" s="4"/>
    </row>
    <row r="272" spans="4:4" ht="15.75" customHeight="1" x14ac:dyDescent="0.15">
      <c r="D272" s="4"/>
    </row>
    <row r="273" spans="4:4" ht="15.75" customHeight="1" x14ac:dyDescent="0.15">
      <c r="D273" s="4"/>
    </row>
    <row r="274" spans="4:4" ht="15.75" customHeight="1" x14ac:dyDescent="0.15">
      <c r="D274" s="4"/>
    </row>
    <row r="275" spans="4:4" ht="15.75" customHeight="1" x14ac:dyDescent="0.15">
      <c r="D275" s="4"/>
    </row>
    <row r="276" spans="4:4" ht="15.75" customHeight="1" x14ac:dyDescent="0.15">
      <c r="D276" s="4"/>
    </row>
    <row r="277" spans="4:4" ht="15.75" customHeight="1" x14ac:dyDescent="0.15">
      <c r="D277" s="4"/>
    </row>
    <row r="278" spans="4:4" ht="15.75" customHeight="1" x14ac:dyDescent="0.15">
      <c r="D278" s="4"/>
    </row>
    <row r="279" spans="4:4" ht="15.75" customHeight="1" x14ac:dyDescent="0.15">
      <c r="D279" s="4"/>
    </row>
    <row r="280" spans="4:4" ht="15.75" customHeight="1" x14ac:dyDescent="0.15">
      <c r="D280" s="4"/>
    </row>
    <row r="281" spans="4:4" ht="15.75" customHeight="1" x14ac:dyDescent="0.15">
      <c r="D281" s="4"/>
    </row>
    <row r="282" spans="4:4" ht="15.75" customHeight="1" x14ac:dyDescent="0.15">
      <c r="D282" s="4"/>
    </row>
    <row r="283" spans="4:4" ht="15.75" customHeight="1" x14ac:dyDescent="0.15">
      <c r="D283" s="4"/>
    </row>
    <row r="284" spans="4:4" ht="15.75" customHeight="1" x14ac:dyDescent="0.15">
      <c r="D284" s="4"/>
    </row>
    <row r="285" spans="4:4" ht="15.75" customHeight="1" x14ac:dyDescent="0.15">
      <c r="D285" s="4"/>
    </row>
    <row r="286" spans="4:4" ht="15.75" customHeight="1" x14ac:dyDescent="0.15">
      <c r="D286" s="4"/>
    </row>
    <row r="287" spans="4:4" ht="15.75" customHeight="1" x14ac:dyDescent="0.15">
      <c r="D287" s="4"/>
    </row>
    <row r="288" spans="4:4" ht="15.75" customHeight="1" x14ac:dyDescent="0.15">
      <c r="D288" s="4"/>
    </row>
    <row r="289" spans="4:4" ht="15.75" customHeight="1" x14ac:dyDescent="0.15">
      <c r="D289" s="4"/>
    </row>
    <row r="290" spans="4:4" ht="15.75" customHeight="1" x14ac:dyDescent="0.15">
      <c r="D290" s="4"/>
    </row>
    <row r="291" spans="4:4" ht="15.75" customHeight="1" x14ac:dyDescent="0.15">
      <c r="D291" s="4"/>
    </row>
    <row r="292" spans="4:4" ht="15.75" customHeight="1" x14ac:dyDescent="0.15">
      <c r="D292" s="4"/>
    </row>
    <row r="293" spans="4:4" ht="15.75" customHeight="1" x14ac:dyDescent="0.15">
      <c r="D293" s="4"/>
    </row>
    <row r="294" spans="4:4" ht="15.75" customHeight="1" x14ac:dyDescent="0.15">
      <c r="D294" s="4"/>
    </row>
    <row r="295" spans="4:4" ht="15.75" customHeight="1" x14ac:dyDescent="0.15">
      <c r="D295" s="4"/>
    </row>
    <row r="296" spans="4:4" ht="15.75" customHeight="1" x14ac:dyDescent="0.15">
      <c r="D296" s="4"/>
    </row>
    <row r="297" spans="4:4" ht="15.75" customHeight="1" x14ac:dyDescent="0.15">
      <c r="D297" s="4"/>
    </row>
    <row r="298" spans="4:4" ht="15.75" customHeight="1" x14ac:dyDescent="0.15">
      <c r="D298" s="4"/>
    </row>
    <row r="299" spans="4:4" ht="15.75" customHeight="1" x14ac:dyDescent="0.15">
      <c r="D299" s="4"/>
    </row>
    <row r="300" spans="4:4" ht="15.75" customHeight="1" x14ac:dyDescent="0.15">
      <c r="D300" s="4"/>
    </row>
    <row r="301" spans="4:4" ht="15.75" customHeight="1" x14ac:dyDescent="0.15">
      <c r="D301" s="4"/>
    </row>
    <row r="302" spans="4:4" ht="15.75" customHeight="1" x14ac:dyDescent="0.15">
      <c r="D302" s="4"/>
    </row>
    <row r="303" spans="4:4" ht="15.75" customHeight="1" x14ac:dyDescent="0.15">
      <c r="D303" s="4"/>
    </row>
    <row r="304" spans="4:4" ht="15.75" customHeight="1" x14ac:dyDescent="0.15">
      <c r="D304" s="4"/>
    </row>
    <row r="305" spans="4:4" ht="15.75" customHeight="1" x14ac:dyDescent="0.15">
      <c r="D305" s="4"/>
    </row>
    <row r="306" spans="4:4" ht="15.75" customHeight="1" x14ac:dyDescent="0.15">
      <c r="D306" s="4"/>
    </row>
    <row r="307" spans="4:4" ht="15.75" customHeight="1" x14ac:dyDescent="0.15">
      <c r="D307" s="4"/>
    </row>
    <row r="308" spans="4:4" ht="15.75" customHeight="1" x14ac:dyDescent="0.15">
      <c r="D308" s="4"/>
    </row>
    <row r="309" spans="4:4" ht="15.75" customHeight="1" x14ac:dyDescent="0.15">
      <c r="D309" s="4"/>
    </row>
    <row r="310" spans="4:4" ht="15.75" customHeight="1" x14ac:dyDescent="0.15">
      <c r="D310" s="4"/>
    </row>
    <row r="311" spans="4:4" ht="15.75" customHeight="1" x14ac:dyDescent="0.15">
      <c r="D311" s="4"/>
    </row>
    <row r="312" spans="4:4" ht="15.75" customHeight="1" x14ac:dyDescent="0.15">
      <c r="D312" s="4"/>
    </row>
    <row r="313" spans="4:4" ht="15.75" customHeight="1" x14ac:dyDescent="0.15">
      <c r="D313" s="4"/>
    </row>
    <row r="314" spans="4:4" ht="15.75" customHeight="1" x14ac:dyDescent="0.15">
      <c r="D314" s="4"/>
    </row>
    <row r="315" spans="4:4" ht="15.75" customHeight="1" x14ac:dyDescent="0.15">
      <c r="D315" s="4"/>
    </row>
    <row r="316" spans="4:4" ht="15.75" customHeight="1" x14ac:dyDescent="0.15">
      <c r="D316" s="4"/>
    </row>
    <row r="317" spans="4:4" ht="15.75" customHeight="1" x14ac:dyDescent="0.15">
      <c r="D317" s="4"/>
    </row>
    <row r="318" spans="4:4" ht="15.75" customHeight="1" x14ac:dyDescent="0.15">
      <c r="D318" s="4"/>
    </row>
    <row r="319" spans="4:4" ht="15.75" customHeight="1" x14ac:dyDescent="0.15">
      <c r="D319" s="4"/>
    </row>
    <row r="320" spans="4:4" ht="15.75" customHeight="1" x14ac:dyDescent="0.15">
      <c r="D320" s="4"/>
    </row>
    <row r="321" spans="4:4" ht="15.75" customHeight="1" x14ac:dyDescent="0.15">
      <c r="D321" s="4"/>
    </row>
    <row r="322" spans="4:4" ht="15.75" customHeight="1" x14ac:dyDescent="0.15">
      <c r="D322" s="4"/>
    </row>
    <row r="323" spans="4:4" ht="15.75" customHeight="1" x14ac:dyDescent="0.15">
      <c r="D323" s="4"/>
    </row>
    <row r="324" spans="4:4" ht="15.75" customHeight="1" x14ac:dyDescent="0.15">
      <c r="D324" s="4"/>
    </row>
    <row r="325" spans="4:4" ht="15.75" customHeight="1" x14ac:dyDescent="0.15">
      <c r="D325" s="4"/>
    </row>
    <row r="326" spans="4:4" ht="15.75" customHeight="1" x14ac:dyDescent="0.15">
      <c r="D326" s="4"/>
    </row>
    <row r="327" spans="4:4" ht="15.75" customHeight="1" x14ac:dyDescent="0.15">
      <c r="D327" s="4"/>
    </row>
    <row r="328" spans="4:4" ht="15.75" customHeight="1" x14ac:dyDescent="0.15">
      <c r="D328" s="4"/>
    </row>
    <row r="329" spans="4:4" ht="15.75" customHeight="1" x14ac:dyDescent="0.15">
      <c r="D329" s="4"/>
    </row>
    <row r="330" spans="4:4" ht="15.75" customHeight="1" x14ac:dyDescent="0.15">
      <c r="D330" s="4"/>
    </row>
    <row r="331" spans="4:4" ht="15.75" customHeight="1" x14ac:dyDescent="0.15">
      <c r="D331" s="4"/>
    </row>
    <row r="332" spans="4:4" ht="15.75" customHeight="1" x14ac:dyDescent="0.15">
      <c r="D332" s="4"/>
    </row>
    <row r="333" spans="4:4" ht="15.75" customHeight="1" x14ac:dyDescent="0.15">
      <c r="D333" s="4"/>
    </row>
    <row r="334" spans="4:4" ht="15.75" customHeight="1" x14ac:dyDescent="0.15">
      <c r="D334" s="4"/>
    </row>
    <row r="335" spans="4:4" ht="15.75" customHeight="1" x14ac:dyDescent="0.15">
      <c r="D335" s="4"/>
    </row>
    <row r="336" spans="4:4" ht="15.75" customHeight="1" x14ac:dyDescent="0.15">
      <c r="D336" s="4"/>
    </row>
    <row r="337" spans="4:4" ht="15.75" customHeight="1" x14ac:dyDescent="0.15">
      <c r="D337" s="4"/>
    </row>
    <row r="338" spans="4:4" ht="15.75" customHeight="1" x14ac:dyDescent="0.15">
      <c r="D338" s="4"/>
    </row>
    <row r="339" spans="4:4" ht="15.75" customHeight="1" x14ac:dyDescent="0.15">
      <c r="D339" s="4"/>
    </row>
    <row r="340" spans="4:4" ht="15.75" customHeight="1" x14ac:dyDescent="0.15">
      <c r="D340" s="4"/>
    </row>
    <row r="341" spans="4:4" ht="15.75" customHeight="1" x14ac:dyDescent="0.15">
      <c r="D341" s="4"/>
    </row>
    <row r="342" spans="4:4" ht="15.75" customHeight="1" x14ac:dyDescent="0.15">
      <c r="D342" s="4"/>
    </row>
    <row r="343" spans="4:4" ht="15.75" customHeight="1" x14ac:dyDescent="0.15">
      <c r="D343" s="4"/>
    </row>
    <row r="344" spans="4:4" ht="15.75" customHeight="1" x14ac:dyDescent="0.15">
      <c r="D344" s="4"/>
    </row>
    <row r="345" spans="4:4" ht="15.75" customHeight="1" x14ac:dyDescent="0.15">
      <c r="D345" s="4"/>
    </row>
    <row r="346" spans="4:4" ht="15.75" customHeight="1" x14ac:dyDescent="0.15">
      <c r="D346" s="4"/>
    </row>
    <row r="347" spans="4:4" ht="15.75" customHeight="1" x14ac:dyDescent="0.15">
      <c r="D347" s="4"/>
    </row>
    <row r="348" spans="4:4" ht="15.75" customHeight="1" x14ac:dyDescent="0.15">
      <c r="D348" s="4"/>
    </row>
    <row r="349" spans="4:4" ht="15.75" customHeight="1" x14ac:dyDescent="0.15">
      <c r="D349" s="4"/>
    </row>
    <row r="350" spans="4:4" ht="15.75" customHeight="1" x14ac:dyDescent="0.15">
      <c r="D350" s="4"/>
    </row>
    <row r="351" spans="4:4" ht="15.75" customHeight="1" x14ac:dyDescent="0.15">
      <c r="D351" s="4"/>
    </row>
    <row r="352" spans="4:4" ht="15.75" customHeight="1" x14ac:dyDescent="0.15">
      <c r="D352" s="4"/>
    </row>
    <row r="353" spans="4:4" ht="15.75" customHeight="1" x14ac:dyDescent="0.15">
      <c r="D353" s="4"/>
    </row>
    <row r="354" spans="4:4" ht="15.75" customHeight="1" x14ac:dyDescent="0.15">
      <c r="D354" s="4"/>
    </row>
    <row r="355" spans="4:4" ht="15.75" customHeight="1" x14ac:dyDescent="0.15">
      <c r="D355" s="4"/>
    </row>
    <row r="356" spans="4:4" ht="15.75" customHeight="1" x14ac:dyDescent="0.15">
      <c r="D356" s="4"/>
    </row>
    <row r="357" spans="4:4" ht="15.75" customHeight="1" x14ac:dyDescent="0.15">
      <c r="D357" s="4"/>
    </row>
    <row r="358" spans="4:4" ht="15.75" customHeight="1" x14ac:dyDescent="0.15">
      <c r="D358" s="4"/>
    </row>
    <row r="359" spans="4:4" ht="15.75" customHeight="1" x14ac:dyDescent="0.15">
      <c r="D359" s="4"/>
    </row>
    <row r="360" spans="4:4" ht="15.75" customHeight="1" x14ac:dyDescent="0.15">
      <c r="D360" s="4"/>
    </row>
    <row r="361" spans="4:4" ht="15.75" customHeight="1" x14ac:dyDescent="0.15">
      <c r="D361" s="4"/>
    </row>
    <row r="362" spans="4:4" ht="15.75" customHeight="1" x14ac:dyDescent="0.15">
      <c r="D362" s="4"/>
    </row>
    <row r="363" spans="4:4" ht="15.75" customHeight="1" x14ac:dyDescent="0.15">
      <c r="D363" s="4"/>
    </row>
    <row r="364" spans="4:4" ht="15.75" customHeight="1" x14ac:dyDescent="0.15">
      <c r="D364" s="4"/>
    </row>
    <row r="365" spans="4:4" ht="15.75" customHeight="1" x14ac:dyDescent="0.15">
      <c r="D365" s="4"/>
    </row>
    <row r="366" spans="4:4" ht="15.75" customHeight="1" x14ac:dyDescent="0.15">
      <c r="D366" s="4"/>
    </row>
    <row r="367" spans="4:4" ht="15.75" customHeight="1" x14ac:dyDescent="0.15">
      <c r="D367" s="4"/>
    </row>
    <row r="368" spans="4:4" ht="15.75" customHeight="1" x14ac:dyDescent="0.15">
      <c r="D368" s="4"/>
    </row>
    <row r="369" spans="4:4" ht="15.75" customHeight="1" x14ac:dyDescent="0.15">
      <c r="D369" s="4"/>
    </row>
    <row r="370" spans="4:4" ht="15.75" customHeight="1" x14ac:dyDescent="0.15">
      <c r="D370" s="4"/>
    </row>
    <row r="371" spans="4:4" ht="15.75" customHeight="1" x14ac:dyDescent="0.15">
      <c r="D371" s="4"/>
    </row>
    <row r="372" spans="4:4" ht="15.75" customHeight="1" x14ac:dyDescent="0.15">
      <c r="D372" s="4"/>
    </row>
    <row r="373" spans="4:4" ht="15.75" customHeight="1" x14ac:dyDescent="0.15">
      <c r="D373" s="4"/>
    </row>
    <row r="374" spans="4:4" ht="15.75" customHeight="1" x14ac:dyDescent="0.15">
      <c r="D374" s="4"/>
    </row>
    <row r="375" spans="4:4" ht="15.75" customHeight="1" x14ac:dyDescent="0.15">
      <c r="D375" s="4"/>
    </row>
    <row r="376" spans="4:4" ht="15.75" customHeight="1" x14ac:dyDescent="0.15">
      <c r="D376" s="4"/>
    </row>
    <row r="377" spans="4:4" ht="15.75" customHeight="1" x14ac:dyDescent="0.15">
      <c r="D377" s="4"/>
    </row>
    <row r="378" spans="4:4" ht="15.75" customHeight="1" x14ac:dyDescent="0.15">
      <c r="D378" s="4"/>
    </row>
    <row r="379" spans="4:4" ht="15.75" customHeight="1" x14ac:dyDescent="0.15">
      <c r="D379" s="4"/>
    </row>
    <row r="380" spans="4:4" ht="15.75" customHeight="1" x14ac:dyDescent="0.15">
      <c r="D380" s="4"/>
    </row>
    <row r="381" spans="4:4" ht="15.75" customHeight="1" x14ac:dyDescent="0.15">
      <c r="D381" s="4"/>
    </row>
    <row r="382" spans="4:4" ht="15.75" customHeight="1" x14ac:dyDescent="0.15">
      <c r="D382" s="4"/>
    </row>
    <row r="383" spans="4:4" ht="15.75" customHeight="1" x14ac:dyDescent="0.15">
      <c r="D383" s="4"/>
    </row>
    <row r="384" spans="4:4" ht="15.75" customHeight="1" x14ac:dyDescent="0.15">
      <c r="D384" s="4"/>
    </row>
    <row r="385" spans="4:4" ht="15.75" customHeight="1" x14ac:dyDescent="0.15">
      <c r="D385" s="4"/>
    </row>
    <row r="386" spans="4:4" ht="15.75" customHeight="1" x14ac:dyDescent="0.15">
      <c r="D386" s="4"/>
    </row>
    <row r="387" spans="4:4" ht="15.75" customHeight="1" x14ac:dyDescent="0.15">
      <c r="D387" s="4"/>
    </row>
    <row r="388" spans="4:4" ht="15.75" customHeight="1" x14ac:dyDescent="0.15">
      <c r="D388" s="4"/>
    </row>
    <row r="389" spans="4:4" ht="15.75" customHeight="1" x14ac:dyDescent="0.15">
      <c r="D389" s="4"/>
    </row>
    <row r="390" spans="4:4" ht="15.75" customHeight="1" x14ac:dyDescent="0.15">
      <c r="D390" s="4"/>
    </row>
    <row r="391" spans="4:4" ht="15.75" customHeight="1" x14ac:dyDescent="0.15">
      <c r="D391" s="4"/>
    </row>
    <row r="392" spans="4:4" ht="15.75" customHeight="1" x14ac:dyDescent="0.15">
      <c r="D392" s="4"/>
    </row>
    <row r="393" spans="4:4" ht="15.75" customHeight="1" x14ac:dyDescent="0.15">
      <c r="D393" s="4"/>
    </row>
    <row r="394" spans="4:4" ht="15.75" customHeight="1" x14ac:dyDescent="0.15">
      <c r="D394" s="4"/>
    </row>
    <row r="395" spans="4:4" ht="15.75" customHeight="1" x14ac:dyDescent="0.15">
      <c r="D395" s="4"/>
    </row>
    <row r="396" spans="4:4" ht="15.75" customHeight="1" x14ac:dyDescent="0.15">
      <c r="D396" s="4"/>
    </row>
    <row r="397" spans="4:4" ht="15.75" customHeight="1" x14ac:dyDescent="0.15">
      <c r="D397" s="4"/>
    </row>
    <row r="398" spans="4:4" ht="15.75" customHeight="1" x14ac:dyDescent="0.15">
      <c r="D398" s="4"/>
    </row>
    <row r="399" spans="4:4" ht="15.75" customHeight="1" x14ac:dyDescent="0.15">
      <c r="D399" s="4"/>
    </row>
    <row r="400" spans="4:4" ht="15.75" customHeight="1" x14ac:dyDescent="0.15">
      <c r="D400" s="4"/>
    </row>
    <row r="401" spans="4:4" ht="15.75" customHeight="1" x14ac:dyDescent="0.15">
      <c r="D401" s="4"/>
    </row>
    <row r="402" spans="4:4" ht="15.75" customHeight="1" x14ac:dyDescent="0.15">
      <c r="D402" s="4"/>
    </row>
    <row r="403" spans="4:4" ht="15.75" customHeight="1" x14ac:dyDescent="0.15">
      <c r="D403" s="4"/>
    </row>
    <row r="404" spans="4:4" ht="15.75" customHeight="1" x14ac:dyDescent="0.15">
      <c r="D404" s="4"/>
    </row>
    <row r="405" spans="4:4" ht="15.75" customHeight="1" x14ac:dyDescent="0.15">
      <c r="D405" s="4"/>
    </row>
    <row r="406" spans="4:4" ht="15.75" customHeight="1" x14ac:dyDescent="0.15">
      <c r="D406" s="4"/>
    </row>
    <row r="407" spans="4:4" ht="15.75" customHeight="1" x14ac:dyDescent="0.15">
      <c r="D407" s="4"/>
    </row>
    <row r="408" spans="4:4" ht="15.75" customHeight="1" x14ac:dyDescent="0.15">
      <c r="D408" s="4"/>
    </row>
    <row r="409" spans="4:4" ht="15.75" customHeight="1" x14ac:dyDescent="0.15">
      <c r="D409" s="4"/>
    </row>
    <row r="410" spans="4:4" ht="15.75" customHeight="1" x14ac:dyDescent="0.15">
      <c r="D410" s="4"/>
    </row>
    <row r="411" spans="4:4" ht="15.75" customHeight="1" x14ac:dyDescent="0.15">
      <c r="D411" s="4"/>
    </row>
    <row r="412" spans="4:4" ht="15.75" customHeight="1" x14ac:dyDescent="0.15">
      <c r="D412" s="4"/>
    </row>
    <row r="413" spans="4:4" ht="15.75" customHeight="1" x14ac:dyDescent="0.15">
      <c r="D413" s="4"/>
    </row>
    <row r="414" spans="4:4" ht="15.75" customHeight="1" x14ac:dyDescent="0.15">
      <c r="D414" s="4"/>
    </row>
    <row r="415" spans="4:4" ht="15.75" customHeight="1" x14ac:dyDescent="0.15">
      <c r="D415" s="4"/>
    </row>
    <row r="416" spans="4:4" ht="15.75" customHeight="1" x14ac:dyDescent="0.15">
      <c r="D416" s="4"/>
    </row>
    <row r="417" spans="4:4" ht="15.75" customHeight="1" x14ac:dyDescent="0.15">
      <c r="D417" s="4"/>
    </row>
    <row r="418" spans="4:4" ht="15.75" customHeight="1" x14ac:dyDescent="0.15">
      <c r="D418" s="4"/>
    </row>
    <row r="419" spans="4:4" ht="15.75" customHeight="1" x14ac:dyDescent="0.15">
      <c r="D419" s="4"/>
    </row>
    <row r="420" spans="4:4" ht="15.75" customHeight="1" x14ac:dyDescent="0.15">
      <c r="D420" s="4"/>
    </row>
    <row r="421" spans="4:4" ht="15.75" customHeight="1" x14ac:dyDescent="0.15">
      <c r="D421" s="4"/>
    </row>
    <row r="422" spans="4:4" ht="15.75" customHeight="1" x14ac:dyDescent="0.15">
      <c r="D422" s="4"/>
    </row>
    <row r="423" spans="4:4" ht="15.75" customHeight="1" x14ac:dyDescent="0.15">
      <c r="D423" s="4"/>
    </row>
    <row r="424" spans="4:4" ht="15.75" customHeight="1" x14ac:dyDescent="0.15">
      <c r="D424" s="4"/>
    </row>
    <row r="425" spans="4:4" ht="15.75" customHeight="1" x14ac:dyDescent="0.15">
      <c r="D425" s="4"/>
    </row>
    <row r="426" spans="4:4" ht="15.75" customHeight="1" x14ac:dyDescent="0.15">
      <c r="D426" s="4"/>
    </row>
    <row r="427" spans="4:4" ht="15.75" customHeight="1" x14ac:dyDescent="0.15">
      <c r="D427" s="4"/>
    </row>
    <row r="428" spans="4:4" ht="15.75" customHeight="1" x14ac:dyDescent="0.15">
      <c r="D428" s="4"/>
    </row>
    <row r="429" spans="4:4" ht="15.75" customHeight="1" x14ac:dyDescent="0.15">
      <c r="D429" s="4"/>
    </row>
    <row r="430" spans="4:4" ht="15.75" customHeight="1" x14ac:dyDescent="0.15">
      <c r="D430" s="4"/>
    </row>
    <row r="431" spans="4:4" ht="15.75" customHeight="1" x14ac:dyDescent="0.15">
      <c r="D431" s="4"/>
    </row>
    <row r="432" spans="4:4" ht="15.75" customHeight="1" x14ac:dyDescent="0.15">
      <c r="D432" s="4"/>
    </row>
    <row r="433" spans="4:4" ht="15.75" customHeight="1" x14ac:dyDescent="0.15">
      <c r="D433" s="4"/>
    </row>
    <row r="434" spans="4:4" ht="15.75" customHeight="1" x14ac:dyDescent="0.15">
      <c r="D434" s="4"/>
    </row>
    <row r="435" spans="4:4" ht="15.75" customHeight="1" x14ac:dyDescent="0.15">
      <c r="D435" s="4"/>
    </row>
    <row r="436" spans="4:4" ht="15.75" customHeight="1" x14ac:dyDescent="0.15">
      <c r="D436" s="4"/>
    </row>
    <row r="437" spans="4:4" ht="15.75" customHeight="1" x14ac:dyDescent="0.15">
      <c r="D437" s="4"/>
    </row>
    <row r="438" spans="4:4" ht="15.75" customHeight="1" x14ac:dyDescent="0.15">
      <c r="D438" s="4"/>
    </row>
    <row r="439" spans="4:4" ht="15.75" customHeight="1" x14ac:dyDescent="0.15">
      <c r="D439" s="4"/>
    </row>
    <row r="440" spans="4:4" ht="15.75" customHeight="1" x14ac:dyDescent="0.15">
      <c r="D440" s="4"/>
    </row>
    <row r="441" spans="4:4" ht="15.75" customHeight="1" x14ac:dyDescent="0.15">
      <c r="D441" s="4"/>
    </row>
    <row r="442" spans="4:4" ht="15.75" customHeight="1" x14ac:dyDescent="0.15">
      <c r="D442" s="4"/>
    </row>
    <row r="443" spans="4:4" ht="15.75" customHeight="1" x14ac:dyDescent="0.15">
      <c r="D443" s="4"/>
    </row>
    <row r="444" spans="4:4" ht="15.75" customHeight="1" x14ac:dyDescent="0.15">
      <c r="D444" s="4"/>
    </row>
    <row r="445" spans="4:4" ht="15.75" customHeight="1" x14ac:dyDescent="0.15">
      <c r="D445" s="4"/>
    </row>
    <row r="446" spans="4:4" ht="15.75" customHeight="1" x14ac:dyDescent="0.15">
      <c r="D446" s="4"/>
    </row>
    <row r="447" spans="4:4" ht="15.75" customHeight="1" x14ac:dyDescent="0.15">
      <c r="D447" s="4"/>
    </row>
    <row r="448" spans="4:4" ht="15.75" customHeight="1" x14ac:dyDescent="0.15">
      <c r="D448" s="4"/>
    </row>
    <row r="449" spans="4:4" ht="15.75" customHeight="1" x14ac:dyDescent="0.15">
      <c r="D449" s="4"/>
    </row>
    <row r="450" spans="4:4" ht="15.75" customHeight="1" x14ac:dyDescent="0.15">
      <c r="D450" s="4"/>
    </row>
    <row r="451" spans="4:4" ht="15.75" customHeight="1" x14ac:dyDescent="0.15">
      <c r="D451" s="4"/>
    </row>
    <row r="452" spans="4:4" ht="15.75" customHeight="1" x14ac:dyDescent="0.15">
      <c r="D452" s="4"/>
    </row>
    <row r="453" spans="4:4" ht="15.75" customHeight="1" x14ac:dyDescent="0.15">
      <c r="D453" s="4"/>
    </row>
    <row r="454" spans="4:4" ht="15.75" customHeight="1" x14ac:dyDescent="0.15">
      <c r="D454" s="4"/>
    </row>
    <row r="455" spans="4:4" ht="15.75" customHeight="1" x14ac:dyDescent="0.15">
      <c r="D455" s="4"/>
    </row>
    <row r="456" spans="4:4" ht="15.75" customHeight="1" x14ac:dyDescent="0.15">
      <c r="D456" s="4"/>
    </row>
    <row r="457" spans="4:4" ht="15.75" customHeight="1" x14ac:dyDescent="0.15">
      <c r="D457" s="4"/>
    </row>
    <row r="458" spans="4:4" ht="15.75" customHeight="1" x14ac:dyDescent="0.15">
      <c r="D458" s="4"/>
    </row>
    <row r="459" spans="4:4" ht="15.75" customHeight="1" x14ac:dyDescent="0.15">
      <c r="D459" s="4"/>
    </row>
    <row r="460" spans="4:4" ht="15.75" customHeight="1" x14ac:dyDescent="0.15">
      <c r="D460" s="4"/>
    </row>
    <row r="461" spans="4:4" ht="15.75" customHeight="1" x14ac:dyDescent="0.15">
      <c r="D461" s="4"/>
    </row>
    <row r="462" spans="4:4" ht="15.75" customHeight="1" x14ac:dyDescent="0.15">
      <c r="D462" s="4"/>
    </row>
    <row r="463" spans="4:4" ht="15.75" customHeight="1" x14ac:dyDescent="0.15">
      <c r="D463" s="4"/>
    </row>
    <row r="464" spans="4:4" ht="15.75" customHeight="1" x14ac:dyDescent="0.15">
      <c r="D464" s="4"/>
    </row>
    <row r="465" spans="4:4" ht="15.75" customHeight="1" x14ac:dyDescent="0.15">
      <c r="D465" s="4"/>
    </row>
    <row r="466" spans="4:4" ht="15.75" customHeight="1" x14ac:dyDescent="0.15">
      <c r="D466" s="4"/>
    </row>
    <row r="467" spans="4:4" ht="15.75" customHeight="1" x14ac:dyDescent="0.15">
      <c r="D467" s="4"/>
    </row>
    <row r="468" spans="4:4" ht="15.75" customHeight="1" x14ac:dyDescent="0.15">
      <c r="D468" s="4"/>
    </row>
    <row r="469" spans="4:4" ht="15.75" customHeight="1" x14ac:dyDescent="0.15">
      <c r="D469" s="4"/>
    </row>
    <row r="470" spans="4:4" ht="15.75" customHeight="1" x14ac:dyDescent="0.15">
      <c r="D470" s="4"/>
    </row>
    <row r="471" spans="4:4" ht="15.75" customHeight="1" x14ac:dyDescent="0.15">
      <c r="D471" s="4"/>
    </row>
    <row r="472" spans="4:4" ht="15.75" customHeight="1" x14ac:dyDescent="0.15">
      <c r="D472" s="4"/>
    </row>
    <row r="473" spans="4:4" ht="15.75" customHeight="1" x14ac:dyDescent="0.15">
      <c r="D473" s="4"/>
    </row>
    <row r="474" spans="4:4" ht="15.75" customHeight="1" x14ac:dyDescent="0.15">
      <c r="D474" s="4"/>
    </row>
    <row r="475" spans="4:4" ht="15.75" customHeight="1" x14ac:dyDescent="0.15">
      <c r="D475" s="4"/>
    </row>
    <row r="476" spans="4:4" ht="15.75" customHeight="1" x14ac:dyDescent="0.15">
      <c r="D476" s="4"/>
    </row>
    <row r="477" spans="4:4" ht="15.75" customHeight="1" x14ac:dyDescent="0.15">
      <c r="D477" s="4"/>
    </row>
    <row r="478" spans="4:4" ht="15.75" customHeight="1" x14ac:dyDescent="0.15">
      <c r="D478" s="4"/>
    </row>
    <row r="479" spans="4:4" ht="15.75" customHeight="1" x14ac:dyDescent="0.15">
      <c r="D479" s="4"/>
    </row>
    <row r="480" spans="4:4" ht="15.75" customHeight="1" x14ac:dyDescent="0.15">
      <c r="D480" s="4"/>
    </row>
    <row r="481" spans="4:4" ht="15.75" customHeight="1" x14ac:dyDescent="0.15">
      <c r="D481" s="4"/>
    </row>
    <row r="482" spans="4:4" ht="15.75" customHeight="1" x14ac:dyDescent="0.15">
      <c r="D482" s="4"/>
    </row>
    <row r="483" spans="4:4" ht="15.75" customHeight="1" x14ac:dyDescent="0.15">
      <c r="D483" s="4"/>
    </row>
    <row r="484" spans="4:4" ht="15.75" customHeight="1" x14ac:dyDescent="0.15">
      <c r="D484" s="4"/>
    </row>
    <row r="485" spans="4:4" ht="15.75" customHeight="1" x14ac:dyDescent="0.15">
      <c r="D485" s="4"/>
    </row>
    <row r="486" spans="4:4" ht="15.75" customHeight="1" x14ac:dyDescent="0.15">
      <c r="D486" s="4"/>
    </row>
    <row r="487" spans="4:4" ht="15.75" customHeight="1" x14ac:dyDescent="0.15">
      <c r="D487" s="4"/>
    </row>
    <row r="488" spans="4:4" ht="15.75" customHeight="1" x14ac:dyDescent="0.15">
      <c r="D488" s="4"/>
    </row>
    <row r="489" spans="4:4" ht="15.75" customHeight="1" x14ac:dyDescent="0.15">
      <c r="D489" s="4"/>
    </row>
    <row r="490" spans="4:4" ht="15.75" customHeight="1" x14ac:dyDescent="0.15">
      <c r="D490" s="4"/>
    </row>
    <row r="491" spans="4:4" ht="15.75" customHeight="1" x14ac:dyDescent="0.15">
      <c r="D491" s="4"/>
    </row>
    <row r="492" spans="4:4" ht="15.75" customHeight="1" x14ac:dyDescent="0.15">
      <c r="D492" s="4"/>
    </row>
    <row r="493" spans="4:4" ht="15.75" customHeight="1" x14ac:dyDescent="0.15">
      <c r="D493" s="4"/>
    </row>
    <row r="494" spans="4:4" ht="15.75" customHeight="1" x14ac:dyDescent="0.15">
      <c r="D494" s="4"/>
    </row>
    <row r="495" spans="4:4" ht="15.75" customHeight="1" x14ac:dyDescent="0.15">
      <c r="D495" s="4"/>
    </row>
    <row r="496" spans="4:4" ht="15.75" customHeight="1" x14ac:dyDescent="0.15">
      <c r="D496" s="4"/>
    </row>
    <row r="497" spans="4:4" ht="15.75" customHeight="1" x14ac:dyDescent="0.15">
      <c r="D497" s="4"/>
    </row>
    <row r="498" spans="4:4" ht="15.75" customHeight="1" x14ac:dyDescent="0.15">
      <c r="D498" s="4"/>
    </row>
    <row r="499" spans="4:4" ht="15.75" customHeight="1" x14ac:dyDescent="0.15">
      <c r="D499" s="4"/>
    </row>
    <row r="500" spans="4:4" ht="15.75" customHeight="1" x14ac:dyDescent="0.15">
      <c r="D500" s="4"/>
    </row>
    <row r="501" spans="4:4" ht="15.75" customHeight="1" x14ac:dyDescent="0.15">
      <c r="D501" s="4"/>
    </row>
    <row r="502" spans="4:4" ht="15.75" customHeight="1" x14ac:dyDescent="0.15">
      <c r="D502" s="4"/>
    </row>
    <row r="503" spans="4:4" ht="15.75" customHeight="1" x14ac:dyDescent="0.15">
      <c r="D503" s="4"/>
    </row>
    <row r="504" spans="4:4" ht="15.75" customHeight="1" x14ac:dyDescent="0.15">
      <c r="D504" s="4"/>
    </row>
    <row r="505" spans="4:4" ht="15.75" customHeight="1" x14ac:dyDescent="0.15">
      <c r="D505" s="4"/>
    </row>
    <row r="506" spans="4:4" ht="15.75" customHeight="1" x14ac:dyDescent="0.15">
      <c r="D506" s="4"/>
    </row>
    <row r="507" spans="4:4" ht="15.75" customHeight="1" x14ac:dyDescent="0.15">
      <c r="D507" s="4"/>
    </row>
    <row r="508" spans="4:4" ht="15.75" customHeight="1" x14ac:dyDescent="0.15">
      <c r="D508" s="4"/>
    </row>
    <row r="509" spans="4:4" ht="15.75" customHeight="1" x14ac:dyDescent="0.15">
      <c r="D509" s="4"/>
    </row>
    <row r="510" spans="4:4" ht="15.75" customHeight="1" x14ac:dyDescent="0.15">
      <c r="D510" s="4"/>
    </row>
    <row r="511" spans="4:4" ht="15.75" customHeight="1" x14ac:dyDescent="0.15">
      <c r="D511" s="4"/>
    </row>
    <row r="512" spans="4:4" ht="15.75" customHeight="1" x14ac:dyDescent="0.15">
      <c r="D512" s="4"/>
    </row>
    <row r="513" spans="4:4" ht="15.75" customHeight="1" x14ac:dyDescent="0.15">
      <c r="D513" s="4"/>
    </row>
    <row r="514" spans="4:4" ht="15.75" customHeight="1" x14ac:dyDescent="0.15">
      <c r="D514" s="4"/>
    </row>
    <row r="515" spans="4:4" ht="15.75" customHeight="1" x14ac:dyDescent="0.15">
      <c r="D515" s="4"/>
    </row>
    <row r="516" spans="4:4" ht="15.75" customHeight="1" x14ac:dyDescent="0.15">
      <c r="D516" s="4"/>
    </row>
    <row r="517" spans="4:4" ht="15.75" customHeight="1" x14ac:dyDescent="0.15">
      <c r="D517" s="4"/>
    </row>
    <row r="518" spans="4:4" ht="15.75" customHeight="1" x14ac:dyDescent="0.15">
      <c r="D518" s="4"/>
    </row>
    <row r="519" spans="4:4" ht="15.75" customHeight="1" x14ac:dyDescent="0.15">
      <c r="D519" s="4"/>
    </row>
    <row r="520" spans="4:4" ht="15.75" customHeight="1" x14ac:dyDescent="0.15">
      <c r="D520" s="4"/>
    </row>
    <row r="521" spans="4:4" ht="15.75" customHeight="1" x14ac:dyDescent="0.15">
      <c r="D521" s="4"/>
    </row>
    <row r="522" spans="4:4" ht="15.75" customHeight="1" x14ac:dyDescent="0.15">
      <c r="D522" s="4"/>
    </row>
    <row r="523" spans="4:4" ht="15.75" customHeight="1" x14ac:dyDescent="0.15">
      <c r="D523" s="4"/>
    </row>
    <row r="524" spans="4:4" ht="15.75" customHeight="1" x14ac:dyDescent="0.15">
      <c r="D524" s="4"/>
    </row>
    <row r="525" spans="4:4" ht="15.75" customHeight="1" x14ac:dyDescent="0.15">
      <c r="D525" s="4"/>
    </row>
    <row r="526" spans="4:4" ht="15.75" customHeight="1" x14ac:dyDescent="0.15">
      <c r="D526" s="4"/>
    </row>
    <row r="527" spans="4:4" ht="15.75" customHeight="1" x14ac:dyDescent="0.15">
      <c r="D527" s="4"/>
    </row>
    <row r="528" spans="4:4" ht="15.75" customHeight="1" x14ac:dyDescent="0.15">
      <c r="D528" s="4"/>
    </row>
    <row r="529" spans="4:4" ht="15.75" customHeight="1" x14ac:dyDescent="0.15">
      <c r="D529" s="4"/>
    </row>
    <row r="530" spans="4:4" ht="15.75" customHeight="1" x14ac:dyDescent="0.15">
      <c r="D530" s="4"/>
    </row>
    <row r="531" spans="4:4" ht="15.75" customHeight="1" x14ac:dyDescent="0.15">
      <c r="D531" s="4"/>
    </row>
    <row r="532" spans="4:4" ht="15.75" customHeight="1" x14ac:dyDescent="0.15">
      <c r="D532" s="4"/>
    </row>
    <row r="533" spans="4:4" ht="15.75" customHeight="1" x14ac:dyDescent="0.15">
      <c r="D533" s="4"/>
    </row>
    <row r="534" spans="4:4" ht="15.75" customHeight="1" x14ac:dyDescent="0.15">
      <c r="D534" s="4"/>
    </row>
    <row r="535" spans="4:4" ht="15.75" customHeight="1" x14ac:dyDescent="0.15">
      <c r="D535" s="4"/>
    </row>
    <row r="536" spans="4:4" ht="15.75" customHeight="1" x14ac:dyDescent="0.15">
      <c r="D536" s="4"/>
    </row>
    <row r="537" spans="4:4" ht="15.75" customHeight="1" x14ac:dyDescent="0.15">
      <c r="D537" s="4"/>
    </row>
    <row r="538" spans="4:4" ht="15.75" customHeight="1" x14ac:dyDescent="0.15">
      <c r="D538" s="4"/>
    </row>
    <row r="539" spans="4:4" ht="15.75" customHeight="1" x14ac:dyDescent="0.15">
      <c r="D539" s="4"/>
    </row>
    <row r="540" spans="4:4" ht="15.75" customHeight="1" x14ac:dyDescent="0.15">
      <c r="D540" s="4"/>
    </row>
    <row r="541" spans="4:4" ht="15.75" customHeight="1" x14ac:dyDescent="0.15">
      <c r="D541" s="4"/>
    </row>
    <row r="542" spans="4:4" ht="15.75" customHeight="1" x14ac:dyDescent="0.15">
      <c r="D542" s="4"/>
    </row>
    <row r="543" spans="4:4" ht="15.75" customHeight="1" x14ac:dyDescent="0.15">
      <c r="D543" s="4"/>
    </row>
    <row r="544" spans="4:4" ht="15.75" customHeight="1" x14ac:dyDescent="0.15">
      <c r="D544" s="4"/>
    </row>
    <row r="545" spans="4:4" ht="15.75" customHeight="1" x14ac:dyDescent="0.15">
      <c r="D545" s="4"/>
    </row>
    <row r="546" spans="4:4" ht="15.75" customHeight="1" x14ac:dyDescent="0.15">
      <c r="D546" s="4"/>
    </row>
    <row r="547" spans="4:4" ht="15.75" customHeight="1" x14ac:dyDescent="0.15">
      <c r="D547" s="4"/>
    </row>
    <row r="548" spans="4:4" ht="15.75" customHeight="1" x14ac:dyDescent="0.15">
      <c r="D548" s="4"/>
    </row>
    <row r="549" spans="4:4" ht="15.75" customHeight="1" x14ac:dyDescent="0.15">
      <c r="D549" s="4"/>
    </row>
    <row r="550" spans="4:4" ht="15.75" customHeight="1" x14ac:dyDescent="0.15">
      <c r="D550" s="4"/>
    </row>
    <row r="551" spans="4:4" ht="15.75" customHeight="1" x14ac:dyDescent="0.15">
      <c r="D551" s="4"/>
    </row>
    <row r="552" spans="4:4" ht="15.75" customHeight="1" x14ac:dyDescent="0.15">
      <c r="D552" s="4"/>
    </row>
    <row r="553" spans="4:4" ht="15.75" customHeight="1" x14ac:dyDescent="0.15">
      <c r="D553" s="4"/>
    </row>
    <row r="554" spans="4:4" ht="15.75" customHeight="1" x14ac:dyDescent="0.15">
      <c r="D554" s="4"/>
    </row>
    <row r="555" spans="4:4" ht="15.75" customHeight="1" x14ac:dyDescent="0.15">
      <c r="D555" s="4"/>
    </row>
    <row r="556" spans="4:4" ht="15.75" customHeight="1" x14ac:dyDescent="0.15">
      <c r="D556" s="4"/>
    </row>
    <row r="557" spans="4:4" ht="15.75" customHeight="1" x14ac:dyDescent="0.15">
      <c r="D557" s="4"/>
    </row>
    <row r="558" spans="4:4" ht="15.75" customHeight="1" x14ac:dyDescent="0.15">
      <c r="D558" s="4"/>
    </row>
    <row r="559" spans="4:4" ht="15.75" customHeight="1" x14ac:dyDescent="0.15">
      <c r="D559" s="4"/>
    </row>
    <row r="560" spans="4:4" ht="15.75" customHeight="1" x14ac:dyDescent="0.15">
      <c r="D560" s="4"/>
    </row>
    <row r="561" spans="4:4" ht="15.75" customHeight="1" x14ac:dyDescent="0.15">
      <c r="D561" s="4"/>
    </row>
    <row r="562" spans="4:4" ht="15.75" customHeight="1" x14ac:dyDescent="0.15">
      <c r="D562" s="4"/>
    </row>
    <row r="563" spans="4:4" ht="15.75" customHeight="1" x14ac:dyDescent="0.15">
      <c r="D563" s="4"/>
    </row>
    <row r="564" spans="4:4" ht="15.75" customHeight="1" x14ac:dyDescent="0.15">
      <c r="D564" s="4"/>
    </row>
    <row r="565" spans="4:4" ht="15.75" customHeight="1" x14ac:dyDescent="0.15">
      <c r="D565" s="4"/>
    </row>
    <row r="566" spans="4:4" ht="15.75" customHeight="1" x14ac:dyDescent="0.15">
      <c r="D566" s="4"/>
    </row>
    <row r="567" spans="4:4" ht="15.75" customHeight="1" x14ac:dyDescent="0.15">
      <c r="D567" s="4"/>
    </row>
    <row r="568" spans="4:4" ht="15.75" customHeight="1" x14ac:dyDescent="0.15">
      <c r="D568" s="4"/>
    </row>
    <row r="569" spans="4:4" ht="15.75" customHeight="1" x14ac:dyDescent="0.15">
      <c r="D569" s="4"/>
    </row>
    <row r="570" spans="4:4" ht="15.75" customHeight="1" x14ac:dyDescent="0.15">
      <c r="D570" s="4"/>
    </row>
    <row r="571" spans="4:4" ht="15.75" customHeight="1" x14ac:dyDescent="0.15">
      <c r="D571" s="4"/>
    </row>
    <row r="572" spans="4:4" ht="15.75" customHeight="1" x14ac:dyDescent="0.15">
      <c r="D572" s="4"/>
    </row>
    <row r="573" spans="4:4" ht="15.75" customHeight="1" x14ac:dyDescent="0.15">
      <c r="D573" s="4"/>
    </row>
    <row r="574" spans="4:4" ht="15.75" customHeight="1" x14ac:dyDescent="0.15">
      <c r="D574" s="4"/>
    </row>
    <row r="575" spans="4:4" ht="15.75" customHeight="1" x14ac:dyDescent="0.15">
      <c r="D575" s="4"/>
    </row>
    <row r="576" spans="4:4" ht="15.75" customHeight="1" x14ac:dyDescent="0.15">
      <c r="D576" s="4"/>
    </row>
    <row r="577" spans="4:4" ht="15.75" customHeight="1" x14ac:dyDescent="0.15">
      <c r="D577" s="4"/>
    </row>
    <row r="578" spans="4:4" ht="15.75" customHeight="1" x14ac:dyDescent="0.15">
      <c r="D578" s="4"/>
    </row>
    <row r="579" spans="4:4" ht="15.75" customHeight="1" x14ac:dyDescent="0.15">
      <c r="D579" s="4"/>
    </row>
    <row r="580" spans="4:4" ht="15.75" customHeight="1" x14ac:dyDescent="0.15">
      <c r="D580" s="4"/>
    </row>
    <row r="581" spans="4:4" ht="15.75" customHeight="1" x14ac:dyDescent="0.15">
      <c r="D581" s="4"/>
    </row>
    <row r="582" spans="4:4" ht="15.75" customHeight="1" x14ac:dyDescent="0.15">
      <c r="D582" s="4"/>
    </row>
    <row r="583" spans="4:4" ht="15.75" customHeight="1" x14ac:dyDescent="0.15">
      <c r="D583" s="4"/>
    </row>
    <row r="584" spans="4:4" ht="15.75" customHeight="1" x14ac:dyDescent="0.15">
      <c r="D584" s="4"/>
    </row>
    <row r="585" spans="4:4" ht="15.75" customHeight="1" x14ac:dyDescent="0.15">
      <c r="D585" s="4"/>
    </row>
    <row r="586" spans="4:4" ht="15.75" customHeight="1" x14ac:dyDescent="0.15">
      <c r="D586" s="4"/>
    </row>
    <row r="587" spans="4:4" ht="15.75" customHeight="1" x14ac:dyDescent="0.15">
      <c r="D587" s="4"/>
    </row>
    <row r="588" spans="4:4" ht="15.75" customHeight="1" x14ac:dyDescent="0.15">
      <c r="D588" s="4"/>
    </row>
    <row r="589" spans="4:4" ht="15.75" customHeight="1" x14ac:dyDescent="0.15">
      <c r="D589" s="4"/>
    </row>
    <row r="590" spans="4:4" ht="15.75" customHeight="1" x14ac:dyDescent="0.15">
      <c r="D590" s="4"/>
    </row>
    <row r="591" spans="4:4" ht="15.75" customHeight="1" x14ac:dyDescent="0.15">
      <c r="D591" s="4"/>
    </row>
    <row r="592" spans="4:4" ht="15.75" customHeight="1" x14ac:dyDescent="0.15">
      <c r="D592" s="4"/>
    </row>
    <row r="593" spans="4:4" ht="15.75" customHeight="1" x14ac:dyDescent="0.15">
      <c r="D593" s="4"/>
    </row>
    <row r="594" spans="4:4" ht="15.75" customHeight="1" x14ac:dyDescent="0.15">
      <c r="D594" s="4"/>
    </row>
    <row r="595" spans="4:4" ht="15.75" customHeight="1" x14ac:dyDescent="0.15">
      <c r="D595" s="4"/>
    </row>
    <row r="596" spans="4:4" ht="15.75" customHeight="1" x14ac:dyDescent="0.15">
      <c r="D596" s="4"/>
    </row>
    <row r="597" spans="4:4" ht="15.75" customHeight="1" x14ac:dyDescent="0.15">
      <c r="D597" s="4"/>
    </row>
    <row r="598" spans="4:4" ht="15.75" customHeight="1" x14ac:dyDescent="0.15">
      <c r="D598" s="4"/>
    </row>
    <row r="599" spans="4:4" ht="15.75" customHeight="1" x14ac:dyDescent="0.15">
      <c r="D599" s="4"/>
    </row>
    <row r="600" spans="4:4" ht="15.75" customHeight="1" x14ac:dyDescent="0.15">
      <c r="D600" s="4"/>
    </row>
    <row r="601" spans="4:4" ht="15.75" customHeight="1" x14ac:dyDescent="0.15">
      <c r="D601" s="4"/>
    </row>
    <row r="602" spans="4:4" ht="15.75" customHeight="1" x14ac:dyDescent="0.15">
      <c r="D602" s="4"/>
    </row>
    <row r="603" spans="4:4" ht="15.75" customHeight="1" x14ac:dyDescent="0.15">
      <c r="D603" s="4"/>
    </row>
    <row r="604" spans="4:4" ht="15.75" customHeight="1" x14ac:dyDescent="0.15">
      <c r="D604" s="4"/>
    </row>
    <row r="605" spans="4:4" ht="15.75" customHeight="1" x14ac:dyDescent="0.15">
      <c r="D605" s="4"/>
    </row>
    <row r="606" spans="4:4" ht="15.75" customHeight="1" x14ac:dyDescent="0.15">
      <c r="D606" s="4"/>
    </row>
    <row r="607" spans="4:4" ht="15.75" customHeight="1" x14ac:dyDescent="0.15">
      <c r="D607" s="4"/>
    </row>
    <row r="608" spans="4:4" ht="15.75" customHeight="1" x14ac:dyDescent="0.15">
      <c r="D608" s="4"/>
    </row>
    <row r="609" spans="4:4" ht="15.75" customHeight="1" x14ac:dyDescent="0.15">
      <c r="D609" s="4"/>
    </row>
    <row r="610" spans="4:4" ht="15.75" customHeight="1" x14ac:dyDescent="0.15">
      <c r="D610" s="4"/>
    </row>
    <row r="611" spans="4:4" ht="15.75" customHeight="1" x14ac:dyDescent="0.15">
      <c r="D611" s="4"/>
    </row>
    <row r="612" spans="4:4" ht="15.75" customHeight="1" x14ac:dyDescent="0.15">
      <c r="D612" s="4"/>
    </row>
    <row r="613" spans="4:4" ht="15.75" customHeight="1" x14ac:dyDescent="0.15">
      <c r="D613" s="4"/>
    </row>
    <row r="614" spans="4:4" ht="15.75" customHeight="1" x14ac:dyDescent="0.15">
      <c r="D614" s="4"/>
    </row>
    <row r="615" spans="4:4" ht="15.75" customHeight="1" x14ac:dyDescent="0.15">
      <c r="D615" s="4"/>
    </row>
    <row r="616" spans="4:4" ht="15.75" customHeight="1" x14ac:dyDescent="0.15">
      <c r="D616" s="4"/>
    </row>
    <row r="617" spans="4:4" ht="15.75" customHeight="1" x14ac:dyDescent="0.15">
      <c r="D617" s="4"/>
    </row>
    <row r="618" spans="4:4" ht="15.75" customHeight="1" x14ac:dyDescent="0.15">
      <c r="D618" s="4"/>
    </row>
    <row r="619" spans="4:4" ht="15.75" customHeight="1" x14ac:dyDescent="0.15">
      <c r="D619" s="4"/>
    </row>
    <row r="620" spans="4:4" ht="15.75" customHeight="1" x14ac:dyDescent="0.15">
      <c r="D620" s="4"/>
    </row>
    <row r="621" spans="4:4" ht="15.75" customHeight="1" x14ac:dyDescent="0.15">
      <c r="D621" s="4"/>
    </row>
    <row r="622" spans="4:4" ht="15.75" customHeight="1" x14ac:dyDescent="0.15">
      <c r="D622" s="4"/>
    </row>
    <row r="623" spans="4:4" ht="15.75" customHeight="1" x14ac:dyDescent="0.15">
      <c r="D623" s="4"/>
    </row>
    <row r="624" spans="4:4" ht="15.75" customHeight="1" x14ac:dyDescent="0.15">
      <c r="D624" s="4"/>
    </row>
    <row r="625" spans="4:4" ht="15.75" customHeight="1" x14ac:dyDescent="0.15">
      <c r="D625" s="4"/>
    </row>
    <row r="626" spans="4:4" ht="15.75" customHeight="1" x14ac:dyDescent="0.15">
      <c r="D626" s="4"/>
    </row>
    <row r="627" spans="4:4" ht="15.75" customHeight="1" x14ac:dyDescent="0.15">
      <c r="D627" s="4"/>
    </row>
    <row r="628" spans="4:4" ht="15.75" customHeight="1" x14ac:dyDescent="0.15">
      <c r="D628" s="4"/>
    </row>
    <row r="629" spans="4:4" ht="15.75" customHeight="1" x14ac:dyDescent="0.15">
      <c r="D629" s="4"/>
    </row>
    <row r="630" spans="4:4" ht="15.75" customHeight="1" x14ac:dyDescent="0.15">
      <c r="D630" s="4"/>
    </row>
    <row r="631" spans="4:4" ht="15.75" customHeight="1" x14ac:dyDescent="0.15">
      <c r="D631" s="4"/>
    </row>
    <row r="632" spans="4:4" ht="15.75" customHeight="1" x14ac:dyDescent="0.15">
      <c r="D632" s="4"/>
    </row>
    <row r="633" spans="4:4" ht="15.75" customHeight="1" x14ac:dyDescent="0.15">
      <c r="D633" s="4"/>
    </row>
    <row r="634" spans="4:4" ht="15.75" customHeight="1" x14ac:dyDescent="0.15">
      <c r="D634" s="4"/>
    </row>
    <row r="635" spans="4:4" ht="15.75" customHeight="1" x14ac:dyDescent="0.15">
      <c r="D635" s="4"/>
    </row>
    <row r="636" spans="4:4" ht="15.75" customHeight="1" x14ac:dyDescent="0.15">
      <c r="D636" s="4"/>
    </row>
    <row r="637" spans="4:4" ht="15.75" customHeight="1" x14ac:dyDescent="0.15">
      <c r="D637" s="4"/>
    </row>
    <row r="638" spans="4:4" ht="15.75" customHeight="1" x14ac:dyDescent="0.15">
      <c r="D638" s="4"/>
    </row>
    <row r="639" spans="4:4" ht="15.75" customHeight="1" x14ac:dyDescent="0.15">
      <c r="D639" s="4"/>
    </row>
    <row r="640" spans="4:4" ht="15.75" customHeight="1" x14ac:dyDescent="0.15">
      <c r="D640" s="4"/>
    </row>
    <row r="641" spans="4:4" ht="15.75" customHeight="1" x14ac:dyDescent="0.15">
      <c r="D641" s="4"/>
    </row>
    <row r="642" spans="4:4" ht="15.75" customHeight="1" x14ac:dyDescent="0.15">
      <c r="D642" s="4"/>
    </row>
    <row r="643" spans="4:4" ht="15.75" customHeight="1" x14ac:dyDescent="0.15">
      <c r="D643" s="4"/>
    </row>
    <row r="644" spans="4:4" ht="15.75" customHeight="1" x14ac:dyDescent="0.15">
      <c r="D644" s="4"/>
    </row>
    <row r="645" spans="4:4" ht="15.75" customHeight="1" x14ac:dyDescent="0.15">
      <c r="D645" s="4"/>
    </row>
    <row r="646" spans="4:4" ht="15.75" customHeight="1" x14ac:dyDescent="0.15">
      <c r="D646" s="4"/>
    </row>
    <row r="647" spans="4:4" ht="15.75" customHeight="1" x14ac:dyDescent="0.15">
      <c r="D647" s="4"/>
    </row>
    <row r="648" spans="4:4" ht="15.75" customHeight="1" x14ac:dyDescent="0.15">
      <c r="D648" s="4"/>
    </row>
    <row r="649" spans="4:4" ht="15.75" customHeight="1" x14ac:dyDescent="0.15">
      <c r="D649" s="4"/>
    </row>
    <row r="650" spans="4:4" ht="15.75" customHeight="1" x14ac:dyDescent="0.15">
      <c r="D650" s="4"/>
    </row>
    <row r="651" spans="4:4" ht="15.75" customHeight="1" x14ac:dyDescent="0.15">
      <c r="D651" s="4"/>
    </row>
    <row r="652" spans="4:4" ht="15.75" customHeight="1" x14ac:dyDescent="0.15">
      <c r="D652" s="4"/>
    </row>
    <row r="653" spans="4:4" ht="15.75" customHeight="1" x14ac:dyDescent="0.15">
      <c r="D653" s="4"/>
    </row>
    <row r="654" spans="4:4" ht="15.75" customHeight="1" x14ac:dyDescent="0.15">
      <c r="D654" s="4"/>
    </row>
    <row r="655" spans="4:4" ht="15.75" customHeight="1" x14ac:dyDescent="0.15">
      <c r="D655" s="4"/>
    </row>
    <row r="656" spans="4:4" ht="15.75" customHeight="1" x14ac:dyDescent="0.15">
      <c r="D656" s="4"/>
    </row>
    <row r="657" spans="4:4" ht="15.75" customHeight="1" x14ac:dyDescent="0.15">
      <c r="D657" s="4"/>
    </row>
    <row r="658" spans="4:4" ht="15.75" customHeight="1" x14ac:dyDescent="0.15">
      <c r="D658" s="4"/>
    </row>
    <row r="659" spans="4:4" ht="15.75" customHeight="1" x14ac:dyDescent="0.15">
      <c r="D659" s="4"/>
    </row>
    <row r="660" spans="4:4" ht="15.75" customHeight="1" x14ac:dyDescent="0.15">
      <c r="D660" s="4"/>
    </row>
    <row r="661" spans="4:4" ht="15.75" customHeight="1" x14ac:dyDescent="0.15">
      <c r="D661" s="4"/>
    </row>
    <row r="662" spans="4:4" ht="15.75" customHeight="1" x14ac:dyDescent="0.15">
      <c r="D662" s="4"/>
    </row>
    <row r="663" spans="4:4" ht="15.75" customHeight="1" x14ac:dyDescent="0.15">
      <c r="D663" s="4"/>
    </row>
    <row r="664" spans="4:4" ht="15.75" customHeight="1" x14ac:dyDescent="0.15">
      <c r="D664" s="4"/>
    </row>
    <row r="665" spans="4:4" ht="15.75" customHeight="1" x14ac:dyDescent="0.15">
      <c r="D665" s="4"/>
    </row>
    <row r="666" spans="4:4" ht="15.75" customHeight="1" x14ac:dyDescent="0.15">
      <c r="D666" s="4"/>
    </row>
    <row r="667" spans="4:4" ht="15.75" customHeight="1" x14ac:dyDescent="0.15">
      <c r="D667" s="4"/>
    </row>
    <row r="668" spans="4:4" ht="15.75" customHeight="1" x14ac:dyDescent="0.15">
      <c r="D668" s="4"/>
    </row>
    <row r="669" spans="4:4" ht="15.75" customHeight="1" x14ac:dyDescent="0.15">
      <c r="D669" s="4"/>
    </row>
    <row r="670" spans="4:4" ht="15.75" customHeight="1" x14ac:dyDescent="0.15">
      <c r="D670" s="4"/>
    </row>
    <row r="671" spans="4:4" ht="15.75" customHeight="1" x14ac:dyDescent="0.15">
      <c r="D671" s="4"/>
    </row>
    <row r="672" spans="4:4" ht="15.75" customHeight="1" x14ac:dyDescent="0.15">
      <c r="D672" s="4"/>
    </row>
    <row r="673" spans="4:4" ht="15.75" customHeight="1" x14ac:dyDescent="0.15">
      <c r="D673" s="4"/>
    </row>
    <row r="674" spans="4:4" ht="15.75" customHeight="1" x14ac:dyDescent="0.15">
      <c r="D674" s="4"/>
    </row>
    <row r="675" spans="4:4" ht="15.75" customHeight="1" x14ac:dyDescent="0.15">
      <c r="D675" s="4"/>
    </row>
    <row r="676" spans="4:4" ht="15.75" customHeight="1" x14ac:dyDescent="0.15">
      <c r="D676" s="4"/>
    </row>
    <row r="677" spans="4:4" ht="15.75" customHeight="1" x14ac:dyDescent="0.15">
      <c r="D677" s="4"/>
    </row>
    <row r="678" spans="4:4" ht="15.75" customHeight="1" x14ac:dyDescent="0.15">
      <c r="D678" s="4"/>
    </row>
    <row r="679" spans="4:4" ht="15.75" customHeight="1" x14ac:dyDescent="0.15">
      <c r="D679" s="4"/>
    </row>
    <row r="680" spans="4:4" ht="15.75" customHeight="1" x14ac:dyDescent="0.15">
      <c r="D680" s="4"/>
    </row>
    <row r="681" spans="4:4" ht="15.75" customHeight="1" x14ac:dyDescent="0.15">
      <c r="D681" s="4"/>
    </row>
    <row r="682" spans="4:4" ht="15.75" customHeight="1" x14ac:dyDescent="0.15">
      <c r="D682" s="4"/>
    </row>
    <row r="683" spans="4:4" ht="15.75" customHeight="1" x14ac:dyDescent="0.15">
      <c r="D683" s="4"/>
    </row>
    <row r="684" spans="4:4" ht="15.75" customHeight="1" x14ac:dyDescent="0.15">
      <c r="D684" s="4"/>
    </row>
    <row r="685" spans="4:4" ht="15.75" customHeight="1" x14ac:dyDescent="0.15">
      <c r="D685" s="4"/>
    </row>
    <row r="686" spans="4:4" ht="15.75" customHeight="1" x14ac:dyDescent="0.15">
      <c r="D686" s="4"/>
    </row>
    <row r="687" spans="4:4" ht="15.75" customHeight="1" x14ac:dyDescent="0.15">
      <c r="D687" s="4"/>
    </row>
    <row r="688" spans="4:4" ht="15.75" customHeight="1" x14ac:dyDescent="0.15">
      <c r="D688" s="4"/>
    </row>
    <row r="689" spans="4:4" ht="15.75" customHeight="1" x14ac:dyDescent="0.15">
      <c r="D689" s="4"/>
    </row>
    <row r="690" spans="4:4" ht="15.75" customHeight="1" x14ac:dyDescent="0.15">
      <c r="D690" s="4"/>
    </row>
    <row r="691" spans="4:4" ht="15.75" customHeight="1" x14ac:dyDescent="0.15">
      <c r="D691" s="4"/>
    </row>
    <row r="692" spans="4:4" ht="15.75" customHeight="1" x14ac:dyDescent="0.15">
      <c r="D692" s="4"/>
    </row>
    <row r="693" spans="4:4" ht="15.75" customHeight="1" x14ac:dyDescent="0.15">
      <c r="D693" s="4"/>
    </row>
    <row r="694" spans="4:4" ht="15.75" customHeight="1" x14ac:dyDescent="0.15">
      <c r="D694" s="4"/>
    </row>
    <row r="695" spans="4:4" ht="15.75" customHeight="1" x14ac:dyDescent="0.15">
      <c r="D695" s="4"/>
    </row>
    <row r="696" spans="4:4" ht="15.75" customHeight="1" x14ac:dyDescent="0.15">
      <c r="D696" s="4"/>
    </row>
    <row r="697" spans="4:4" ht="15.75" customHeight="1" x14ac:dyDescent="0.15">
      <c r="D697" s="4"/>
    </row>
    <row r="698" spans="4:4" ht="15.75" customHeight="1" x14ac:dyDescent="0.15">
      <c r="D698" s="4"/>
    </row>
    <row r="699" spans="4:4" ht="15.75" customHeight="1" x14ac:dyDescent="0.15">
      <c r="D699" s="4"/>
    </row>
    <row r="700" spans="4:4" ht="15.75" customHeight="1" x14ac:dyDescent="0.15">
      <c r="D700" s="4"/>
    </row>
    <row r="701" spans="4:4" ht="15.75" customHeight="1" x14ac:dyDescent="0.15">
      <c r="D701" s="4"/>
    </row>
    <row r="702" spans="4:4" ht="15.75" customHeight="1" x14ac:dyDescent="0.15">
      <c r="D702" s="4"/>
    </row>
    <row r="703" spans="4:4" ht="15.75" customHeight="1" x14ac:dyDescent="0.15">
      <c r="D703" s="4"/>
    </row>
    <row r="704" spans="4:4" ht="15.75" customHeight="1" x14ac:dyDescent="0.15">
      <c r="D704" s="4"/>
    </row>
    <row r="705" spans="4:4" ht="15.75" customHeight="1" x14ac:dyDescent="0.15">
      <c r="D705" s="4"/>
    </row>
    <row r="706" spans="4:4" ht="15.75" customHeight="1" x14ac:dyDescent="0.15">
      <c r="D706" s="4"/>
    </row>
    <row r="707" spans="4:4" ht="15.75" customHeight="1" x14ac:dyDescent="0.15">
      <c r="D707" s="4"/>
    </row>
    <row r="708" spans="4:4" ht="15.75" customHeight="1" x14ac:dyDescent="0.15">
      <c r="D708" s="4"/>
    </row>
    <row r="709" spans="4:4" ht="15.75" customHeight="1" x14ac:dyDescent="0.15">
      <c r="D709" s="4"/>
    </row>
    <row r="710" spans="4:4" ht="15.75" customHeight="1" x14ac:dyDescent="0.15">
      <c r="D710" s="4"/>
    </row>
    <row r="711" spans="4:4" ht="15.75" customHeight="1" x14ac:dyDescent="0.15">
      <c r="D711" s="4"/>
    </row>
    <row r="712" spans="4:4" ht="15.75" customHeight="1" x14ac:dyDescent="0.15">
      <c r="D712" s="4"/>
    </row>
    <row r="713" spans="4:4" ht="15.75" customHeight="1" x14ac:dyDescent="0.15">
      <c r="D713" s="4"/>
    </row>
    <row r="714" spans="4:4" ht="15.75" customHeight="1" x14ac:dyDescent="0.15">
      <c r="D714" s="4"/>
    </row>
    <row r="715" spans="4:4" ht="15.75" customHeight="1" x14ac:dyDescent="0.15">
      <c r="D715" s="4"/>
    </row>
    <row r="716" spans="4:4" ht="15.75" customHeight="1" x14ac:dyDescent="0.15">
      <c r="D716" s="4"/>
    </row>
    <row r="717" spans="4:4" ht="15.75" customHeight="1" x14ac:dyDescent="0.15">
      <c r="D717" s="4"/>
    </row>
    <row r="718" spans="4:4" ht="15.75" customHeight="1" x14ac:dyDescent="0.15">
      <c r="D718" s="4"/>
    </row>
    <row r="719" spans="4:4" ht="15.75" customHeight="1" x14ac:dyDescent="0.15">
      <c r="D719" s="4"/>
    </row>
    <row r="720" spans="4:4" ht="15.75" customHeight="1" x14ac:dyDescent="0.15">
      <c r="D720" s="4"/>
    </row>
    <row r="721" spans="4:4" ht="15.75" customHeight="1" x14ac:dyDescent="0.15">
      <c r="D721" s="4"/>
    </row>
    <row r="722" spans="4:4" ht="15.75" customHeight="1" x14ac:dyDescent="0.15">
      <c r="D722" s="4"/>
    </row>
    <row r="723" spans="4:4" ht="15.75" customHeight="1" x14ac:dyDescent="0.15">
      <c r="D723" s="4"/>
    </row>
    <row r="724" spans="4:4" ht="15.75" customHeight="1" x14ac:dyDescent="0.15">
      <c r="D724" s="4"/>
    </row>
    <row r="725" spans="4:4" ht="15.75" customHeight="1" x14ac:dyDescent="0.15">
      <c r="D725" s="4"/>
    </row>
    <row r="726" spans="4:4" ht="15.75" customHeight="1" x14ac:dyDescent="0.15">
      <c r="D726" s="4"/>
    </row>
    <row r="727" spans="4:4" ht="15.75" customHeight="1" x14ac:dyDescent="0.15">
      <c r="D727" s="4"/>
    </row>
    <row r="728" spans="4:4" ht="15.75" customHeight="1" x14ac:dyDescent="0.15">
      <c r="D728" s="4"/>
    </row>
    <row r="729" spans="4:4" ht="15.75" customHeight="1" x14ac:dyDescent="0.15">
      <c r="D729" s="4"/>
    </row>
    <row r="730" spans="4:4" ht="15.75" customHeight="1" x14ac:dyDescent="0.15">
      <c r="D730" s="4"/>
    </row>
    <row r="731" spans="4:4" ht="15.75" customHeight="1" x14ac:dyDescent="0.15">
      <c r="D731" s="4"/>
    </row>
    <row r="732" spans="4:4" ht="15.75" customHeight="1" x14ac:dyDescent="0.15">
      <c r="D732" s="4"/>
    </row>
    <row r="733" spans="4:4" ht="15.75" customHeight="1" x14ac:dyDescent="0.15">
      <c r="D733" s="4"/>
    </row>
    <row r="734" spans="4:4" ht="15.75" customHeight="1" x14ac:dyDescent="0.15">
      <c r="D734" s="4"/>
    </row>
    <row r="735" spans="4:4" ht="15.75" customHeight="1" x14ac:dyDescent="0.15">
      <c r="D735" s="4"/>
    </row>
    <row r="736" spans="4:4" ht="15.75" customHeight="1" x14ac:dyDescent="0.15">
      <c r="D736" s="4"/>
    </row>
    <row r="737" spans="4:4" ht="15.75" customHeight="1" x14ac:dyDescent="0.15">
      <c r="D737" s="4"/>
    </row>
    <row r="738" spans="4:4" ht="15.75" customHeight="1" x14ac:dyDescent="0.15">
      <c r="D738" s="4"/>
    </row>
    <row r="739" spans="4:4" ht="15.75" customHeight="1" x14ac:dyDescent="0.15">
      <c r="D739" s="4"/>
    </row>
    <row r="740" spans="4:4" ht="15.75" customHeight="1" x14ac:dyDescent="0.15">
      <c r="D740" s="4"/>
    </row>
    <row r="741" spans="4:4" ht="15.75" customHeight="1" x14ac:dyDescent="0.15">
      <c r="D741" s="4"/>
    </row>
    <row r="742" spans="4:4" ht="15.75" customHeight="1" x14ac:dyDescent="0.15">
      <c r="D742" s="4"/>
    </row>
    <row r="743" spans="4:4" ht="15.75" customHeight="1" x14ac:dyDescent="0.15">
      <c r="D743" s="4"/>
    </row>
    <row r="744" spans="4:4" ht="15.75" customHeight="1" x14ac:dyDescent="0.15">
      <c r="D744" s="4"/>
    </row>
    <row r="745" spans="4:4" ht="15.75" customHeight="1" x14ac:dyDescent="0.15">
      <c r="D745" s="4"/>
    </row>
    <row r="746" spans="4:4" ht="15.75" customHeight="1" x14ac:dyDescent="0.15">
      <c r="D746" s="4"/>
    </row>
    <row r="747" spans="4:4" ht="15.75" customHeight="1" x14ac:dyDescent="0.15">
      <c r="D747" s="4"/>
    </row>
    <row r="748" spans="4:4" ht="15.75" customHeight="1" x14ac:dyDescent="0.15">
      <c r="D748" s="4"/>
    </row>
    <row r="749" spans="4:4" ht="15.75" customHeight="1" x14ac:dyDescent="0.15">
      <c r="D749" s="4"/>
    </row>
    <row r="750" spans="4:4" ht="15.75" customHeight="1" x14ac:dyDescent="0.15">
      <c r="D750" s="4"/>
    </row>
    <row r="751" spans="4:4" ht="15.75" customHeight="1" x14ac:dyDescent="0.15">
      <c r="D751" s="4"/>
    </row>
    <row r="752" spans="4:4" ht="15.75" customHeight="1" x14ac:dyDescent="0.15">
      <c r="D752" s="4"/>
    </row>
    <row r="753" spans="4:4" ht="15.75" customHeight="1" x14ac:dyDescent="0.15">
      <c r="D753" s="4"/>
    </row>
    <row r="754" spans="4:4" ht="15.75" customHeight="1" x14ac:dyDescent="0.15">
      <c r="D754" s="4"/>
    </row>
    <row r="755" spans="4:4" ht="15.75" customHeight="1" x14ac:dyDescent="0.15">
      <c r="D755" s="4"/>
    </row>
    <row r="756" spans="4:4" ht="15.75" customHeight="1" x14ac:dyDescent="0.15">
      <c r="D756" s="4"/>
    </row>
    <row r="757" spans="4:4" ht="15.75" customHeight="1" x14ac:dyDescent="0.15">
      <c r="D757" s="4"/>
    </row>
    <row r="758" spans="4:4" ht="15.75" customHeight="1" x14ac:dyDescent="0.15">
      <c r="D758" s="4"/>
    </row>
    <row r="759" spans="4:4" ht="15.75" customHeight="1" x14ac:dyDescent="0.15">
      <c r="D759" s="4"/>
    </row>
    <row r="760" spans="4:4" ht="15.75" customHeight="1" x14ac:dyDescent="0.15">
      <c r="D760" s="4"/>
    </row>
    <row r="761" spans="4:4" ht="15.75" customHeight="1" x14ac:dyDescent="0.15">
      <c r="D761" s="4"/>
    </row>
    <row r="762" spans="4:4" ht="15.75" customHeight="1" x14ac:dyDescent="0.15">
      <c r="D762" s="4"/>
    </row>
    <row r="763" spans="4:4" ht="15.75" customHeight="1" x14ac:dyDescent="0.15">
      <c r="D763" s="4"/>
    </row>
    <row r="764" spans="4:4" ht="15.75" customHeight="1" x14ac:dyDescent="0.15">
      <c r="D764" s="4"/>
    </row>
    <row r="765" spans="4:4" ht="15.75" customHeight="1" x14ac:dyDescent="0.15">
      <c r="D765" s="4"/>
    </row>
    <row r="766" spans="4:4" ht="15.75" customHeight="1" x14ac:dyDescent="0.15">
      <c r="D766" s="4"/>
    </row>
    <row r="767" spans="4:4" ht="15.75" customHeight="1" x14ac:dyDescent="0.15">
      <c r="D767" s="4"/>
    </row>
    <row r="768" spans="4:4" ht="15.75" customHeight="1" x14ac:dyDescent="0.15">
      <c r="D768" s="4"/>
    </row>
    <row r="769" spans="4:4" ht="15.75" customHeight="1" x14ac:dyDescent="0.15">
      <c r="D769" s="4"/>
    </row>
    <row r="770" spans="4:4" ht="15.75" customHeight="1" x14ac:dyDescent="0.15">
      <c r="D770" s="4"/>
    </row>
    <row r="771" spans="4:4" ht="15.75" customHeight="1" x14ac:dyDescent="0.15">
      <c r="D771" s="4"/>
    </row>
    <row r="772" spans="4:4" ht="15.75" customHeight="1" x14ac:dyDescent="0.15">
      <c r="D772" s="4"/>
    </row>
    <row r="773" spans="4:4" ht="15.75" customHeight="1" x14ac:dyDescent="0.15">
      <c r="D773" s="4"/>
    </row>
    <row r="774" spans="4:4" ht="15.75" customHeight="1" x14ac:dyDescent="0.15">
      <c r="D774" s="4"/>
    </row>
    <row r="775" spans="4:4" ht="15.75" customHeight="1" x14ac:dyDescent="0.15">
      <c r="D775" s="4"/>
    </row>
    <row r="776" spans="4:4" ht="15.75" customHeight="1" x14ac:dyDescent="0.15">
      <c r="D776" s="4"/>
    </row>
    <row r="777" spans="4:4" ht="15.75" customHeight="1" x14ac:dyDescent="0.15">
      <c r="D777" s="4"/>
    </row>
    <row r="778" spans="4:4" ht="15.75" customHeight="1" x14ac:dyDescent="0.15">
      <c r="D778" s="4"/>
    </row>
    <row r="779" spans="4:4" ht="15.75" customHeight="1" x14ac:dyDescent="0.15">
      <c r="D779" s="4"/>
    </row>
    <row r="780" spans="4:4" ht="15.75" customHeight="1" x14ac:dyDescent="0.15">
      <c r="D780" s="4"/>
    </row>
    <row r="781" spans="4:4" ht="15.75" customHeight="1" x14ac:dyDescent="0.15">
      <c r="D781" s="4"/>
    </row>
    <row r="782" spans="4:4" ht="15.75" customHeight="1" x14ac:dyDescent="0.15">
      <c r="D782" s="4"/>
    </row>
    <row r="783" spans="4:4" ht="15.75" customHeight="1" x14ac:dyDescent="0.15">
      <c r="D783" s="4"/>
    </row>
    <row r="784" spans="4:4" ht="15.75" customHeight="1" x14ac:dyDescent="0.15">
      <c r="D784" s="4"/>
    </row>
    <row r="785" spans="4:4" ht="15.75" customHeight="1" x14ac:dyDescent="0.15">
      <c r="D785" s="4"/>
    </row>
    <row r="786" spans="4:4" ht="15.75" customHeight="1" x14ac:dyDescent="0.15">
      <c r="D786" s="4"/>
    </row>
    <row r="787" spans="4:4" ht="15.75" customHeight="1" x14ac:dyDescent="0.15">
      <c r="D787" s="4"/>
    </row>
    <row r="788" spans="4:4" ht="15.75" customHeight="1" x14ac:dyDescent="0.15">
      <c r="D788" s="4"/>
    </row>
    <row r="789" spans="4:4" ht="15.75" customHeight="1" x14ac:dyDescent="0.15">
      <c r="D789" s="4"/>
    </row>
    <row r="790" spans="4:4" ht="15.75" customHeight="1" x14ac:dyDescent="0.15">
      <c r="D790" s="4"/>
    </row>
    <row r="791" spans="4:4" ht="15.75" customHeight="1" x14ac:dyDescent="0.15">
      <c r="D791" s="4"/>
    </row>
    <row r="792" spans="4:4" ht="15.75" customHeight="1" x14ac:dyDescent="0.15">
      <c r="D792" s="4"/>
    </row>
    <row r="793" spans="4:4" ht="15.75" customHeight="1" x14ac:dyDescent="0.15">
      <c r="D793" s="4"/>
    </row>
    <row r="794" spans="4:4" ht="15.75" customHeight="1" x14ac:dyDescent="0.15">
      <c r="D794" s="4"/>
    </row>
    <row r="795" spans="4:4" ht="15.75" customHeight="1" x14ac:dyDescent="0.15">
      <c r="D795" s="4"/>
    </row>
    <row r="796" spans="4:4" ht="15.75" customHeight="1" x14ac:dyDescent="0.15">
      <c r="D796" s="4"/>
    </row>
    <row r="797" spans="4:4" ht="15.75" customHeight="1" x14ac:dyDescent="0.15">
      <c r="D797" s="4"/>
    </row>
    <row r="798" spans="4:4" ht="15.75" customHeight="1" x14ac:dyDescent="0.15">
      <c r="D798" s="4"/>
    </row>
    <row r="799" spans="4:4" ht="15.75" customHeight="1" x14ac:dyDescent="0.15">
      <c r="D799" s="4"/>
    </row>
    <row r="800" spans="4:4" ht="15.75" customHeight="1" x14ac:dyDescent="0.15">
      <c r="D800" s="4"/>
    </row>
    <row r="801" spans="4:4" ht="15.75" customHeight="1" x14ac:dyDescent="0.15">
      <c r="D801" s="4"/>
    </row>
    <row r="802" spans="4:4" ht="15.75" customHeight="1" x14ac:dyDescent="0.15">
      <c r="D802" s="4"/>
    </row>
    <row r="803" spans="4:4" ht="15.75" customHeight="1" x14ac:dyDescent="0.15">
      <c r="D803" s="4"/>
    </row>
    <row r="804" spans="4:4" ht="15.75" customHeight="1" x14ac:dyDescent="0.15">
      <c r="D804" s="4"/>
    </row>
    <row r="805" spans="4:4" ht="15.75" customHeight="1" x14ac:dyDescent="0.15">
      <c r="D805" s="4"/>
    </row>
    <row r="806" spans="4:4" ht="15.75" customHeight="1" x14ac:dyDescent="0.15">
      <c r="D806" s="4"/>
    </row>
    <row r="807" spans="4:4" ht="15.75" customHeight="1" x14ac:dyDescent="0.15">
      <c r="D807" s="4"/>
    </row>
    <row r="808" spans="4:4" ht="15.75" customHeight="1" x14ac:dyDescent="0.15">
      <c r="D808" s="4"/>
    </row>
    <row r="809" spans="4:4" ht="15.75" customHeight="1" x14ac:dyDescent="0.15">
      <c r="D809" s="4"/>
    </row>
    <row r="810" spans="4:4" ht="15.75" customHeight="1" x14ac:dyDescent="0.15">
      <c r="D810" s="4"/>
    </row>
    <row r="811" spans="4:4" ht="15.75" customHeight="1" x14ac:dyDescent="0.15">
      <c r="D811" s="4"/>
    </row>
    <row r="812" spans="4:4" ht="15.75" customHeight="1" x14ac:dyDescent="0.15">
      <c r="D812" s="4"/>
    </row>
    <row r="813" spans="4:4" ht="15.75" customHeight="1" x14ac:dyDescent="0.15">
      <c r="D813" s="4"/>
    </row>
    <row r="814" spans="4:4" ht="15.75" customHeight="1" x14ac:dyDescent="0.15">
      <c r="D814" s="4"/>
    </row>
    <row r="815" spans="4:4" ht="15.75" customHeight="1" x14ac:dyDescent="0.15">
      <c r="D815" s="4"/>
    </row>
    <row r="816" spans="4:4" ht="15.75" customHeight="1" x14ac:dyDescent="0.15">
      <c r="D816" s="4"/>
    </row>
    <row r="817" spans="4:4" ht="15.75" customHeight="1" x14ac:dyDescent="0.15">
      <c r="D817" s="4"/>
    </row>
    <row r="818" spans="4:4" ht="15.75" customHeight="1" x14ac:dyDescent="0.15">
      <c r="D818" s="4"/>
    </row>
    <row r="819" spans="4:4" ht="15.75" customHeight="1" x14ac:dyDescent="0.15">
      <c r="D819" s="4"/>
    </row>
    <row r="820" spans="4:4" ht="15.75" customHeight="1" x14ac:dyDescent="0.15">
      <c r="D820" s="4"/>
    </row>
    <row r="821" spans="4:4" ht="15.75" customHeight="1" x14ac:dyDescent="0.15">
      <c r="D821" s="4"/>
    </row>
    <row r="822" spans="4:4" ht="15.75" customHeight="1" x14ac:dyDescent="0.15">
      <c r="D822" s="4"/>
    </row>
    <row r="823" spans="4:4" ht="15.75" customHeight="1" x14ac:dyDescent="0.15">
      <c r="D823" s="4"/>
    </row>
    <row r="824" spans="4:4" ht="15.75" customHeight="1" x14ac:dyDescent="0.15">
      <c r="D824" s="4"/>
    </row>
    <row r="825" spans="4:4" ht="15.75" customHeight="1" x14ac:dyDescent="0.15">
      <c r="D825" s="4"/>
    </row>
    <row r="826" spans="4:4" ht="15.75" customHeight="1" x14ac:dyDescent="0.15">
      <c r="D826" s="4"/>
    </row>
    <row r="827" spans="4:4" ht="15.75" customHeight="1" x14ac:dyDescent="0.15">
      <c r="D827" s="4"/>
    </row>
    <row r="828" spans="4:4" ht="15.75" customHeight="1" x14ac:dyDescent="0.15">
      <c r="D828" s="4"/>
    </row>
    <row r="829" spans="4:4" ht="15.75" customHeight="1" x14ac:dyDescent="0.15">
      <c r="D829" s="4"/>
    </row>
    <row r="830" spans="4:4" ht="15.75" customHeight="1" x14ac:dyDescent="0.15">
      <c r="D830" s="4"/>
    </row>
    <row r="831" spans="4:4" ht="15.75" customHeight="1" x14ac:dyDescent="0.15">
      <c r="D831" s="4"/>
    </row>
    <row r="832" spans="4:4" ht="15.75" customHeight="1" x14ac:dyDescent="0.15">
      <c r="D832" s="4"/>
    </row>
    <row r="833" spans="4:4" ht="15.75" customHeight="1" x14ac:dyDescent="0.15">
      <c r="D833" s="4"/>
    </row>
    <row r="834" spans="4:4" ht="15.75" customHeight="1" x14ac:dyDescent="0.15">
      <c r="D834" s="4"/>
    </row>
    <row r="835" spans="4:4" ht="15.75" customHeight="1" x14ac:dyDescent="0.15">
      <c r="D835" s="4"/>
    </row>
    <row r="836" spans="4:4" ht="15.75" customHeight="1" x14ac:dyDescent="0.15">
      <c r="D836" s="4"/>
    </row>
    <row r="837" spans="4:4" ht="15.75" customHeight="1" x14ac:dyDescent="0.15">
      <c r="D837" s="4"/>
    </row>
    <row r="838" spans="4:4" ht="15.75" customHeight="1" x14ac:dyDescent="0.15">
      <c r="D838" s="4"/>
    </row>
    <row r="839" spans="4:4" ht="15.75" customHeight="1" x14ac:dyDescent="0.15">
      <c r="D839" s="4"/>
    </row>
    <row r="840" spans="4:4" ht="15.75" customHeight="1" x14ac:dyDescent="0.15">
      <c r="D840" s="4"/>
    </row>
    <row r="841" spans="4:4" ht="15.75" customHeight="1" x14ac:dyDescent="0.15">
      <c r="D841" s="4"/>
    </row>
    <row r="842" spans="4:4" ht="15.75" customHeight="1" x14ac:dyDescent="0.15">
      <c r="D842" s="4"/>
    </row>
    <row r="843" spans="4:4" ht="15.75" customHeight="1" x14ac:dyDescent="0.15">
      <c r="D843" s="4"/>
    </row>
    <row r="844" spans="4:4" ht="15.75" customHeight="1" x14ac:dyDescent="0.15">
      <c r="D844" s="4"/>
    </row>
    <row r="845" spans="4:4" ht="15.75" customHeight="1" x14ac:dyDescent="0.15">
      <c r="D845" s="4"/>
    </row>
    <row r="846" spans="4:4" ht="15.75" customHeight="1" x14ac:dyDescent="0.15">
      <c r="D846" s="4"/>
    </row>
    <row r="847" spans="4:4" ht="15.75" customHeight="1" x14ac:dyDescent="0.15">
      <c r="D847" s="4"/>
    </row>
    <row r="848" spans="4:4" ht="15.75" customHeight="1" x14ac:dyDescent="0.15">
      <c r="D848" s="4"/>
    </row>
    <row r="849" spans="4:4" ht="15.75" customHeight="1" x14ac:dyDescent="0.15">
      <c r="D849" s="4"/>
    </row>
    <row r="850" spans="4:4" ht="15.75" customHeight="1" x14ac:dyDescent="0.15">
      <c r="D850" s="4"/>
    </row>
    <row r="851" spans="4:4" ht="15.75" customHeight="1" x14ac:dyDescent="0.15">
      <c r="D851" s="4"/>
    </row>
    <row r="852" spans="4:4" ht="15.75" customHeight="1" x14ac:dyDescent="0.15">
      <c r="D852" s="4"/>
    </row>
    <row r="853" spans="4:4" ht="15.75" customHeight="1" x14ac:dyDescent="0.15">
      <c r="D853" s="4"/>
    </row>
    <row r="854" spans="4:4" ht="15.75" customHeight="1" x14ac:dyDescent="0.15">
      <c r="D854" s="4"/>
    </row>
    <row r="855" spans="4:4" ht="15.75" customHeight="1" x14ac:dyDescent="0.15">
      <c r="D855" s="4"/>
    </row>
    <row r="856" spans="4:4" ht="15.75" customHeight="1" x14ac:dyDescent="0.15">
      <c r="D856" s="4"/>
    </row>
    <row r="857" spans="4:4" ht="15.75" customHeight="1" x14ac:dyDescent="0.15">
      <c r="D857" s="4"/>
    </row>
    <row r="858" spans="4:4" ht="15.75" customHeight="1" x14ac:dyDescent="0.15">
      <c r="D858" s="4"/>
    </row>
    <row r="859" spans="4:4" ht="15.75" customHeight="1" x14ac:dyDescent="0.15">
      <c r="D859" s="4"/>
    </row>
    <row r="860" spans="4:4" ht="15.75" customHeight="1" x14ac:dyDescent="0.15">
      <c r="D860" s="4"/>
    </row>
    <row r="861" spans="4:4" ht="15.75" customHeight="1" x14ac:dyDescent="0.15">
      <c r="D861" s="4"/>
    </row>
    <row r="862" spans="4:4" ht="15.75" customHeight="1" x14ac:dyDescent="0.15">
      <c r="D862" s="4"/>
    </row>
    <row r="863" spans="4:4" ht="15.75" customHeight="1" x14ac:dyDescent="0.15">
      <c r="D863" s="4"/>
    </row>
    <row r="864" spans="4:4" ht="15.75" customHeight="1" x14ac:dyDescent="0.15">
      <c r="D864" s="4"/>
    </row>
    <row r="865" spans="4:4" ht="15.75" customHeight="1" x14ac:dyDescent="0.15">
      <c r="D865" s="4"/>
    </row>
    <row r="866" spans="4:4" ht="15.75" customHeight="1" x14ac:dyDescent="0.15">
      <c r="D866" s="4"/>
    </row>
    <row r="867" spans="4:4" ht="15.75" customHeight="1" x14ac:dyDescent="0.15">
      <c r="D867" s="4"/>
    </row>
    <row r="868" spans="4:4" ht="15.75" customHeight="1" x14ac:dyDescent="0.15">
      <c r="D868" s="4"/>
    </row>
    <row r="869" spans="4:4" ht="15.75" customHeight="1" x14ac:dyDescent="0.15">
      <c r="D869" s="4"/>
    </row>
    <row r="870" spans="4:4" ht="15.75" customHeight="1" x14ac:dyDescent="0.15">
      <c r="D870" s="4"/>
    </row>
    <row r="871" spans="4:4" ht="15.75" customHeight="1" x14ac:dyDescent="0.15">
      <c r="D871" s="4"/>
    </row>
    <row r="872" spans="4:4" ht="15.75" customHeight="1" x14ac:dyDescent="0.15">
      <c r="D872" s="4"/>
    </row>
    <row r="873" spans="4:4" ht="15.75" customHeight="1" x14ac:dyDescent="0.15">
      <c r="D873" s="4"/>
    </row>
    <row r="874" spans="4:4" ht="15.75" customHeight="1" x14ac:dyDescent="0.15">
      <c r="D874" s="4"/>
    </row>
    <row r="875" spans="4:4" ht="15.75" customHeight="1" x14ac:dyDescent="0.15">
      <c r="D875" s="4"/>
    </row>
    <row r="876" spans="4:4" ht="15.75" customHeight="1" x14ac:dyDescent="0.15">
      <c r="D876" s="4"/>
    </row>
    <row r="877" spans="4:4" ht="15.75" customHeight="1" x14ac:dyDescent="0.15">
      <c r="D877" s="4"/>
    </row>
    <row r="878" spans="4:4" ht="15.75" customHeight="1" x14ac:dyDescent="0.15">
      <c r="D878" s="4"/>
    </row>
    <row r="879" spans="4:4" ht="15.75" customHeight="1" x14ac:dyDescent="0.15">
      <c r="D879" s="4"/>
    </row>
    <row r="880" spans="4:4" ht="15.75" customHeight="1" x14ac:dyDescent="0.15">
      <c r="D880" s="4"/>
    </row>
    <row r="881" spans="4:4" ht="15.75" customHeight="1" x14ac:dyDescent="0.15">
      <c r="D881" s="4"/>
    </row>
    <row r="882" spans="4:4" ht="15.75" customHeight="1" x14ac:dyDescent="0.15">
      <c r="D882" s="4"/>
    </row>
    <row r="883" spans="4:4" ht="15.75" customHeight="1" x14ac:dyDescent="0.15">
      <c r="D883" s="4"/>
    </row>
    <row r="884" spans="4:4" ht="15.75" customHeight="1" x14ac:dyDescent="0.15">
      <c r="D884" s="4"/>
    </row>
    <row r="885" spans="4:4" ht="15.75" customHeight="1" x14ac:dyDescent="0.15">
      <c r="D885" s="4"/>
    </row>
    <row r="886" spans="4:4" ht="15.75" customHeight="1" x14ac:dyDescent="0.15">
      <c r="D886" s="4"/>
    </row>
    <row r="887" spans="4:4" ht="15.75" customHeight="1" x14ac:dyDescent="0.15">
      <c r="D887" s="4"/>
    </row>
    <row r="888" spans="4:4" ht="15.75" customHeight="1" x14ac:dyDescent="0.15">
      <c r="D888" s="4"/>
    </row>
    <row r="889" spans="4:4" ht="15.75" customHeight="1" x14ac:dyDescent="0.15">
      <c r="D889" s="4"/>
    </row>
    <row r="890" spans="4:4" ht="15.75" customHeight="1" x14ac:dyDescent="0.15">
      <c r="D890" s="4"/>
    </row>
    <row r="891" spans="4:4" ht="15.75" customHeight="1" x14ac:dyDescent="0.15">
      <c r="D891" s="4"/>
    </row>
    <row r="892" spans="4:4" ht="15.75" customHeight="1" x14ac:dyDescent="0.15">
      <c r="D892" s="4"/>
    </row>
    <row r="893" spans="4:4" ht="15.75" customHeight="1" x14ac:dyDescent="0.15">
      <c r="D893" s="4"/>
    </row>
    <row r="894" spans="4:4" ht="15.75" customHeight="1" x14ac:dyDescent="0.15">
      <c r="D894" s="4"/>
    </row>
    <row r="895" spans="4:4" ht="15.75" customHeight="1" x14ac:dyDescent="0.15">
      <c r="D895" s="4"/>
    </row>
    <row r="896" spans="4:4" ht="15.75" customHeight="1" x14ac:dyDescent="0.15">
      <c r="D896" s="4"/>
    </row>
    <row r="897" spans="4:4" ht="15.75" customHeight="1" x14ac:dyDescent="0.15">
      <c r="D897" s="4"/>
    </row>
    <row r="898" spans="4:4" ht="15.75" customHeight="1" x14ac:dyDescent="0.15">
      <c r="D898" s="4"/>
    </row>
    <row r="899" spans="4:4" ht="15.75" customHeight="1" x14ac:dyDescent="0.15">
      <c r="D899" s="4"/>
    </row>
    <row r="900" spans="4:4" ht="15.75" customHeight="1" x14ac:dyDescent="0.15">
      <c r="D900" s="4"/>
    </row>
    <row r="901" spans="4:4" ht="15.75" customHeight="1" x14ac:dyDescent="0.15">
      <c r="D901" s="4"/>
    </row>
    <row r="902" spans="4:4" ht="15.75" customHeight="1" x14ac:dyDescent="0.15">
      <c r="D902" s="4"/>
    </row>
    <row r="903" spans="4:4" ht="15.75" customHeight="1" x14ac:dyDescent="0.15">
      <c r="D903" s="4"/>
    </row>
    <row r="904" spans="4:4" ht="15.75" customHeight="1" x14ac:dyDescent="0.15">
      <c r="D904" s="4"/>
    </row>
    <row r="905" spans="4:4" ht="15.75" customHeight="1" x14ac:dyDescent="0.15">
      <c r="D905" s="4"/>
    </row>
    <row r="906" spans="4:4" ht="15.75" customHeight="1" x14ac:dyDescent="0.15">
      <c r="D906" s="4"/>
    </row>
    <row r="907" spans="4:4" ht="15.75" customHeight="1" x14ac:dyDescent="0.15">
      <c r="D907" s="4"/>
    </row>
    <row r="908" spans="4:4" ht="15.75" customHeight="1" x14ac:dyDescent="0.15">
      <c r="D908" s="4"/>
    </row>
    <row r="909" spans="4:4" ht="15.75" customHeight="1" x14ac:dyDescent="0.15">
      <c r="D909" s="4"/>
    </row>
    <row r="910" spans="4:4" ht="15.75" customHeight="1" x14ac:dyDescent="0.15">
      <c r="D910" s="4"/>
    </row>
    <row r="911" spans="4:4" ht="15.75" customHeight="1" x14ac:dyDescent="0.15">
      <c r="D911" s="4"/>
    </row>
    <row r="912" spans="4:4" ht="15.75" customHeight="1" x14ac:dyDescent="0.15">
      <c r="D912" s="4"/>
    </row>
    <row r="913" spans="4:4" ht="15.75" customHeight="1" x14ac:dyDescent="0.15">
      <c r="D913" s="4"/>
    </row>
    <row r="914" spans="4:4" ht="15.75" customHeight="1" x14ac:dyDescent="0.15">
      <c r="D914" s="4"/>
    </row>
    <row r="915" spans="4:4" ht="15.75" customHeight="1" x14ac:dyDescent="0.15">
      <c r="D915" s="4"/>
    </row>
    <row r="916" spans="4:4" ht="15.75" customHeight="1" x14ac:dyDescent="0.15">
      <c r="D916" s="4"/>
    </row>
    <row r="917" spans="4:4" ht="15.75" customHeight="1" x14ac:dyDescent="0.15">
      <c r="D917" s="4"/>
    </row>
    <row r="918" spans="4:4" ht="15.75" customHeight="1" x14ac:dyDescent="0.15">
      <c r="D918" s="4"/>
    </row>
    <row r="919" spans="4:4" ht="15.75" customHeight="1" x14ac:dyDescent="0.15">
      <c r="D919" s="4"/>
    </row>
    <row r="920" spans="4:4" ht="15.75" customHeight="1" x14ac:dyDescent="0.15">
      <c r="D920" s="4"/>
    </row>
    <row r="921" spans="4:4" ht="15.75" customHeight="1" x14ac:dyDescent="0.15">
      <c r="D921" s="4"/>
    </row>
    <row r="922" spans="4:4" ht="15.75" customHeight="1" x14ac:dyDescent="0.15">
      <c r="D922" s="4"/>
    </row>
    <row r="923" spans="4:4" ht="15.75" customHeight="1" x14ac:dyDescent="0.15">
      <c r="D923" s="4"/>
    </row>
    <row r="924" spans="4:4" ht="15.75" customHeight="1" x14ac:dyDescent="0.15">
      <c r="D924" s="4"/>
    </row>
    <row r="925" spans="4:4" ht="15.75" customHeight="1" x14ac:dyDescent="0.15">
      <c r="D925" s="4"/>
    </row>
    <row r="926" spans="4:4" ht="15.75" customHeight="1" x14ac:dyDescent="0.15">
      <c r="D926" s="4"/>
    </row>
    <row r="927" spans="4:4" ht="15.75" customHeight="1" x14ac:dyDescent="0.15">
      <c r="D927" s="4"/>
    </row>
    <row r="928" spans="4:4" ht="15.75" customHeight="1" x14ac:dyDescent="0.15">
      <c r="D928" s="4"/>
    </row>
    <row r="929" spans="4:4" ht="15.75" customHeight="1" x14ac:dyDescent="0.15">
      <c r="D929" s="4"/>
    </row>
    <row r="930" spans="4:4" ht="15.75" customHeight="1" x14ac:dyDescent="0.15">
      <c r="D930" s="4"/>
    </row>
    <row r="931" spans="4:4" ht="15.75" customHeight="1" x14ac:dyDescent="0.15">
      <c r="D931" s="4"/>
    </row>
    <row r="932" spans="4:4" ht="15.75" customHeight="1" x14ac:dyDescent="0.15">
      <c r="D932" s="4"/>
    </row>
    <row r="933" spans="4:4" ht="15.75" customHeight="1" x14ac:dyDescent="0.15">
      <c r="D933" s="4"/>
    </row>
    <row r="934" spans="4:4" ht="15.75" customHeight="1" x14ac:dyDescent="0.15">
      <c r="D934" s="4"/>
    </row>
    <row r="935" spans="4:4" ht="15.75" customHeight="1" x14ac:dyDescent="0.15">
      <c r="D935" s="4"/>
    </row>
    <row r="936" spans="4:4" ht="15.75" customHeight="1" x14ac:dyDescent="0.15">
      <c r="D936" s="4"/>
    </row>
    <row r="937" spans="4:4" ht="15.75" customHeight="1" x14ac:dyDescent="0.15">
      <c r="D937" s="4"/>
    </row>
    <row r="938" spans="4:4" ht="15.75" customHeight="1" x14ac:dyDescent="0.15">
      <c r="D938" s="4"/>
    </row>
    <row r="939" spans="4:4" ht="15.75" customHeight="1" x14ac:dyDescent="0.15">
      <c r="D939" s="4"/>
    </row>
    <row r="940" spans="4:4" ht="15.75" customHeight="1" x14ac:dyDescent="0.15">
      <c r="D940" s="4"/>
    </row>
    <row r="941" spans="4:4" ht="15.75" customHeight="1" x14ac:dyDescent="0.15">
      <c r="D941" s="4"/>
    </row>
    <row r="942" spans="4:4" ht="15.75" customHeight="1" x14ac:dyDescent="0.15">
      <c r="D942" s="4"/>
    </row>
    <row r="943" spans="4:4" ht="15.75" customHeight="1" x14ac:dyDescent="0.15">
      <c r="D943" s="4"/>
    </row>
    <row r="944" spans="4:4" ht="15.75" customHeight="1" x14ac:dyDescent="0.15">
      <c r="D944" s="4"/>
    </row>
    <row r="945" spans="4:4" ht="15.75" customHeight="1" x14ac:dyDescent="0.15">
      <c r="D945" s="4"/>
    </row>
    <row r="946" spans="4:4" ht="15.75" customHeight="1" x14ac:dyDescent="0.15">
      <c r="D946" s="4"/>
    </row>
    <row r="947" spans="4:4" ht="15.75" customHeight="1" x14ac:dyDescent="0.15">
      <c r="D947" s="4"/>
    </row>
    <row r="948" spans="4:4" ht="15.75" customHeight="1" x14ac:dyDescent="0.15">
      <c r="D948" s="4"/>
    </row>
    <row r="949" spans="4:4" ht="15.75" customHeight="1" x14ac:dyDescent="0.15">
      <c r="D949" s="4"/>
    </row>
    <row r="950" spans="4:4" ht="15.75" customHeight="1" x14ac:dyDescent="0.15">
      <c r="D950" s="4"/>
    </row>
    <row r="951" spans="4:4" ht="15.75" customHeight="1" x14ac:dyDescent="0.15">
      <c r="D951" s="4"/>
    </row>
    <row r="952" spans="4:4" ht="15.75" customHeight="1" x14ac:dyDescent="0.15">
      <c r="D952" s="4"/>
    </row>
    <row r="953" spans="4:4" ht="15.75" customHeight="1" x14ac:dyDescent="0.15">
      <c r="D953" s="4"/>
    </row>
    <row r="954" spans="4:4" ht="15.75" customHeight="1" x14ac:dyDescent="0.15">
      <c r="D954" s="4"/>
    </row>
    <row r="955" spans="4:4" ht="15.75" customHeight="1" x14ac:dyDescent="0.15">
      <c r="D955" s="4"/>
    </row>
    <row r="956" spans="4:4" ht="15.75" customHeight="1" x14ac:dyDescent="0.15">
      <c r="D956" s="4"/>
    </row>
    <row r="957" spans="4:4" ht="15.75" customHeight="1" x14ac:dyDescent="0.15">
      <c r="D957" s="4"/>
    </row>
    <row r="958" spans="4:4" ht="15.75" customHeight="1" x14ac:dyDescent="0.15">
      <c r="D958" s="4"/>
    </row>
    <row r="959" spans="4:4" ht="15.75" customHeight="1" x14ac:dyDescent="0.15">
      <c r="D959" s="4"/>
    </row>
    <row r="960" spans="4:4" ht="15.75" customHeight="1" x14ac:dyDescent="0.15">
      <c r="D960" s="4"/>
    </row>
    <row r="961" spans="4:4" ht="15.75" customHeight="1" x14ac:dyDescent="0.15">
      <c r="D961" s="4"/>
    </row>
    <row r="962" spans="4:4" ht="15.75" customHeight="1" x14ac:dyDescent="0.15">
      <c r="D962" s="4"/>
    </row>
    <row r="963" spans="4:4" ht="15.75" customHeight="1" x14ac:dyDescent="0.15">
      <c r="D963" s="4"/>
    </row>
    <row r="964" spans="4:4" ht="15.75" customHeight="1" x14ac:dyDescent="0.15">
      <c r="D964" s="4"/>
    </row>
    <row r="965" spans="4:4" ht="15.75" customHeight="1" x14ac:dyDescent="0.15">
      <c r="D965" s="4"/>
    </row>
    <row r="966" spans="4:4" ht="15.75" customHeight="1" x14ac:dyDescent="0.15">
      <c r="D966" s="4"/>
    </row>
    <row r="967" spans="4:4" ht="15.75" customHeight="1" x14ac:dyDescent="0.15">
      <c r="D967" s="4"/>
    </row>
    <row r="968" spans="4:4" ht="15.75" customHeight="1" x14ac:dyDescent="0.15">
      <c r="D968" s="4"/>
    </row>
    <row r="969" spans="4:4" ht="15.75" customHeight="1" x14ac:dyDescent="0.15">
      <c r="D969" s="4"/>
    </row>
    <row r="970" spans="4:4" ht="15.75" customHeight="1" x14ac:dyDescent="0.15">
      <c r="D970" s="4"/>
    </row>
    <row r="971" spans="4:4" ht="15.75" customHeight="1" x14ac:dyDescent="0.15">
      <c r="D971" s="4"/>
    </row>
    <row r="972" spans="4:4" ht="15.75" customHeight="1" x14ac:dyDescent="0.15">
      <c r="D972" s="4"/>
    </row>
    <row r="973" spans="4:4" ht="15.75" customHeight="1" x14ac:dyDescent="0.15">
      <c r="D973" s="4"/>
    </row>
    <row r="974" spans="4:4" ht="15.75" customHeight="1" x14ac:dyDescent="0.15">
      <c r="D974" s="4"/>
    </row>
    <row r="975" spans="4:4" ht="15.75" customHeight="1" x14ac:dyDescent="0.15">
      <c r="D975" s="4"/>
    </row>
    <row r="976" spans="4:4" ht="15.75" customHeight="1" x14ac:dyDescent="0.15">
      <c r="D976" s="4"/>
    </row>
    <row r="977" spans="4:4" ht="15.75" customHeight="1" x14ac:dyDescent="0.15">
      <c r="D977" s="4"/>
    </row>
    <row r="978" spans="4:4" ht="15.75" customHeight="1" x14ac:dyDescent="0.15">
      <c r="D978" s="4"/>
    </row>
    <row r="979" spans="4:4" ht="15.75" customHeight="1" x14ac:dyDescent="0.15">
      <c r="D979" s="4"/>
    </row>
    <row r="980" spans="4:4" ht="15.75" customHeight="1" x14ac:dyDescent="0.15">
      <c r="D980" s="4"/>
    </row>
    <row r="981" spans="4:4" ht="15.75" customHeight="1" x14ac:dyDescent="0.15">
      <c r="D981" s="4"/>
    </row>
    <row r="982" spans="4:4" ht="15.75" customHeight="1" x14ac:dyDescent="0.15">
      <c r="D982" s="4"/>
    </row>
    <row r="983" spans="4:4" ht="15.75" customHeight="1" x14ac:dyDescent="0.15">
      <c r="D983" s="4"/>
    </row>
    <row r="984" spans="4:4" ht="15.75" customHeight="1" x14ac:dyDescent="0.15">
      <c r="D984" s="4"/>
    </row>
    <row r="985" spans="4:4" ht="15.75" customHeight="1" x14ac:dyDescent="0.15">
      <c r="D985" s="4"/>
    </row>
    <row r="986" spans="4:4" ht="15.75" customHeight="1" x14ac:dyDescent="0.15">
      <c r="D986" s="4"/>
    </row>
    <row r="987" spans="4:4" ht="15.75" customHeight="1" x14ac:dyDescent="0.15">
      <c r="D987" s="4"/>
    </row>
    <row r="988" spans="4:4" ht="15.75" customHeight="1" x14ac:dyDescent="0.15">
      <c r="D988" s="4"/>
    </row>
    <row r="989" spans="4:4" ht="15.75" customHeight="1" x14ac:dyDescent="0.15">
      <c r="D989" s="4"/>
    </row>
    <row r="990" spans="4:4" ht="15.75" customHeight="1" x14ac:dyDescent="0.15">
      <c r="D990" s="4"/>
    </row>
    <row r="991" spans="4:4" ht="15.75" customHeight="1" x14ac:dyDescent="0.15">
      <c r="D991" s="4"/>
    </row>
    <row r="992" spans="4:4" ht="15.75" customHeight="1" x14ac:dyDescent="0.15">
      <c r="D992" s="4"/>
    </row>
    <row r="993" spans="4:4" ht="15.75" customHeight="1" x14ac:dyDescent="0.15">
      <c r="D993" s="4"/>
    </row>
    <row r="994" spans="4:4" ht="15.75" customHeight="1" x14ac:dyDescent="0.15">
      <c r="D994" s="4"/>
    </row>
    <row r="995" spans="4:4" ht="15.75" customHeight="1" x14ac:dyDescent="0.15">
      <c r="D995" s="4"/>
    </row>
    <row r="996" spans="4:4" ht="15.75" customHeight="1" x14ac:dyDescent="0.15">
      <c r="D996" s="4"/>
    </row>
    <row r="997" spans="4:4" ht="15.75" customHeight="1" x14ac:dyDescent="0.15">
      <c r="D997" s="4"/>
    </row>
    <row r="998" spans="4:4" ht="15.75" customHeight="1" x14ac:dyDescent="0.15">
      <c r="D998" s="4"/>
    </row>
    <row r="999" spans="4:4" ht="15.75" customHeight="1" x14ac:dyDescent="0.15">
      <c r="D999" s="4"/>
    </row>
    <row r="1000" spans="4:4" ht="15.75" customHeight="1" x14ac:dyDescent="0.15">
      <c r="D1000" s="4"/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AB4EC0107454478605D2B5E0DCA1C7" ma:contentTypeVersion="19" ma:contentTypeDescription="Create a new document." ma:contentTypeScope="" ma:versionID="64f3c7d16ecdb55217657268c7171b71">
  <xsd:schema xmlns:xsd="http://www.w3.org/2001/XMLSchema" xmlns:xs="http://www.w3.org/2001/XMLSchema" xmlns:p="http://schemas.microsoft.com/office/2006/metadata/properties" xmlns:ns2="8564e67f-bba0-4d1f-b21f-a9104a52d9d8" xmlns:ns3="5d1a0b72-b551-4c07-a965-b85beabd92be" xmlns:ns4="ab06a5aa-8e31-4bdb-9b13-38c58a92ec8a" targetNamespace="http://schemas.microsoft.com/office/2006/metadata/properties" ma:root="true" ma:fieldsID="0500fe7ff3677deb0500ff3308ff3698" ns2:_="" ns3:_="" ns4:_="">
    <xsd:import namespace="8564e67f-bba0-4d1f-b21f-a9104a52d9d8"/>
    <xsd:import namespace="5d1a0b72-b551-4c07-a965-b85beabd92be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64e67f-bba0-4d1f-b21f-a9104a52d9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a0b72-b551-4c07-a965-b85beabd92b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071fc20-6ecd-498a-801d-3f9534983564}" ma:internalName="TaxCatchAll" ma:showField="CatchAllData" ma:web="5d1a0b72-b551-4c07-a965-b85beabd92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06a5aa-8e31-4bdb-9b13-38c58a92ec8a" xsi:nil="true"/>
    <lcf76f155ced4ddcb4097134ff3c332f xmlns="8564e67f-bba0-4d1f-b21f-a9104a52d9d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7D4324-15AC-47D0-99B1-4482544671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F1D4EC-E298-4AD3-B709-C95B51367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64e67f-bba0-4d1f-b21f-a9104a52d9d8"/>
    <ds:schemaRef ds:uri="5d1a0b72-b551-4c07-a965-b85beabd92be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26145C-FAD7-4B84-A162-6E81ED606D30}">
  <ds:schemaRefs>
    <ds:schemaRef ds:uri="http://schemas.microsoft.com/office/2006/metadata/properties"/>
    <ds:schemaRef ds:uri="http://schemas.microsoft.com/office/infopath/2007/PartnerControls"/>
    <ds:schemaRef ds:uri="ab06a5aa-8e31-4bdb-9b13-38c58a92ec8a"/>
    <ds:schemaRef ds:uri="8564e67f-bba0-4d1f-b21f-a9104a52d9d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Renee A. Davis</cp:lastModifiedBy>
  <dcterms:created xsi:type="dcterms:W3CDTF">2026-01-02T19:28:05Z</dcterms:created>
  <dcterms:modified xsi:type="dcterms:W3CDTF">2026-02-04T04:23:57Z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0x010100C8AB4EC0107454478605D2B5E0DCA1C7</vt:lpwstr>
  </property>
</Properties>
</file>